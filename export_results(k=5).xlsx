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References\박사\학회\"/>
    </mc:Choice>
  </mc:AlternateContent>
  <bookViews>
    <workbookView xWindow="0" yWindow="0" windowWidth="30720" windowHeight="12732"/>
  </bookViews>
  <sheets>
    <sheet name="dataset" sheetId="1" r:id="rId1"/>
    <sheet name="counts" sheetId="2" r:id="rId2"/>
  </sheets>
  <definedNames>
    <definedName name="_xlnm._FilterDatabase" localSheetId="0" hidden="1">dataset!$B$1:$M$102</definedName>
  </definedNames>
  <calcPr calcId="162913"/>
  <fileRecoveryPr repairLoad="1"/>
</workbook>
</file>

<file path=xl/calcChain.xml><?xml version="1.0" encoding="utf-8"?>
<calcChain xmlns="http://schemas.openxmlformats.org/spreadsheetml/2006/main">
  <c r="B25" i="2" l="1"/>
  <c r="B12" i="2" l="1"/>
  <c r="J26" i="2"/>
</calcChain>
</file>

<file path=xl/sharedStrings.xml><?xml version="1.0" encoding="utf-8"?>
<sst xmlns="http://schemas.openxmlformats.org/spreadsheetml/2006/main" count="379" uniqueCount="311">
  <si>
    <t>p</t>
  </si>
  <si>
    <t>q</t>
  </si>
  <si>
    <t>m</t>
  </si>
  <si>
    <t>q/p</t>
  </si>
  <si>
    <t>t*</t>
  </si>
  <si>
    <t>t**</t>
  </si>
  <si>
    <t>s(t*)</t>
  </si>
  <si>
    <t>cluster</t>
  </si>
  <si>
    <t>겟차</t>
  </si>
  <si>
    <t>구루미</t>
  </si>
  <si>
    <t>그린카</t>
  </si>
  <si>
    <t>나인탭</t>
  </si>
  <si>
    <t>뉴플로이</t>
  </si>
  <si>
    <t>다노</t>
  </si>
  <si>
    <t>닥터다이어리</t>
  </si>
  <si>
    <t>당근마켓</t>
  </si>
  <si>
    <t>더치트</t>
  </si>
  <si>
    <t>더파이러츠</t>
  </si>
  <si>
    <t>두꺼비세상</t>
  </si>
  <si>
    <t>디스코</t>
  </si>
  <si>
    <t>디코드</t>
  </si>
  <si>
    <t>딜리버리히어로코리아</t>
  </si>
  <si>
    <t>라프텔</t>
  </si>
  <si>
    <t>러너스마인드</t>
  </si>
  <si>
    <t>레드블루</t>
  </si>
  <si>
    <t>로앤컴퍼니</t>
  </si>
  <si>
    <t>리디</t>
  </si>
  <si>
    <t>리치플래닛</t>
  </si>
  <si>
    <t>링글잉글리시에듀케이션서비스</t>
  </si>
  <si>
    <t>마드라스체크</t>
  </si>
  <si>
    <t>마보</t>
  </si>
  <si>
    <t>마켓디자이너스</t>
  </si>
  <si>
    <t>맘편한세상</t>
  </si>
  <si>
    <t>망고슬래브</t>
  </si>
  <si>
    <t>망고플레이트</t>
  </si>
  <si>
    <t>매스아시아</t>
  </si>
  <si>
    <t>머스트잇</t>
  </si>
  <si>
    <t>메쉬코리아</t>
  </si>
  <si>
    <t>모두컴퍼니</t>
  </si>
  <si>
    <t>무신사</t>
  </si>
  <si>
    <t>문피아</t>
  </si>
  <si>
    <t>미머디</t>
  </si>
  <si>
    <t>미소</t>
  </si>
  <si>
    <t>밀리의서재</t>
  </si>
  <si>
    <t>바닐라브릿지</t>
  </si>
  <si>
    <t>박스트리</t>
  </si>
  <si>
    <t>백패커</t>
  </si>
  <si>
    <t>뱅크샐러드</t>
  </si>
  <si>
    <t>버킷플레이스</t>
  </si>
  <si>
    <t>벤디스</t>
  </si>
  <si>
    <t>브랜드엑스코퍼레이션</t>
  </si>
  <si>
    <t>브랜디</t>
  </si>
  <si>
    <t>브레인커머스</t>
  </si>
  <si>
    <t>비바리퍼블리카</t>
  </si>
  <si>
    <t>비주얼</t>
  </si>
  <si>
    <t>빅쏠</t>
  </si>
  <si>
    <t>생활연구소</t>
  </si>
  <si>
    <t>소프트베리</t>
  </si>
  <si>
    <t>스톤아이</t>
  </si>
  <si>
    <t>시프티</t>
  </si>
  <si>
    <t>아파트너</t>
  </si>
  <si>
    <t>안다르</t>
  </si>
  <si>
    <t>앤스페이스</t>
  </si>
  <si>
    <t>업라이즈</t>
  </si>
  <si>
    <t>에이블리코퍼레이션</t>
  </si>
  <si>
    <t>에이에스엔</t>
  </si>
  <si>
    <t>에임</t>
  </si>
  <si>
    <t>엔코드</t>
  </si>
  <si>
    <t>오아시스</t>
  </si>
  <si>
    <t>오피지지</t>
  </si>
  <si>
    <t>와디즈플랫폼</t>
  </si>
  <si>
    <t>와이오엘오</t>
  </si>
  <si>
    <t>왓챠</t>
  </si>
  <si>
    <t>우아한형제들</t>
  </si>
  <si>
    <t>운칠기삼</t>
  </si>
  <si>
    <t>워시스왓</t>
  </si>
  <si>
    <t>원티드랩</t>
  </si>
  <si>
    <t>웨딩북</t>
  </si>
  <si>
    <t>윌림</t>
  </si>
  <si>
    <t>인플루엔셜</t>
  </si>
  <si>
    <t>짐싸</t>
  </si>
  <si>
    <t>집꾸미기</t>
  </si>
  <si>
    <t>집토스</t>
  </si>
  <si>
    <t>채널코퍼레이션</t>
  </si>
  <si>
    <t>카카오뱅크</t>
  </si>
  <si>
    <t>캐치잇플레이</t>
  </si>
  <si>
    <t>커넥트핏</t>
  </si>
  <si>
    <t>컬리</t>
  </si>
  <si>
    <t>크라우드웍스</t>
  </si>
  <si>
    <t>크로키닷컴</t>
  </si>
  <si>
    <t>크몽</t>
  </si>
  <si>
    <t>클라썸</t>
  </si>
  <si>
    <t>클래스101</t>
  </si>
  <si>
    <t>키노라이츠</t>
  </si>
  <si>
    <t>키튼플래닛</t>
  </si>
  <si>
    <t>탈잉</t>
  </si>
  <si>
    <t>투미유</t>
  </si>
  <si>
    <t>튜터링</t>
  </si>
  <si>
    <t>팀오투</t>
  </si>
  <si>
    <t>파킹클라우드</t>
  </si>
  <si>
    <t>패스트레인</t>
  </si>
  <si>
    <t>펫프렌즈</t>
  </si>
  <si>
    <t>프렌트립</t>
  </si>
  <si>
    <t>프리윌린</t>
  </si>
  <si>
    <t>피플카</t>
  </si>
  <si>
    <t>핀다</t>
  </si>
  <si>
    <t>헬로네이처</t>
  </si>
  <si>
    <t>호갱노노</t>
  </si>
  <si>
    <t>휴마트컴퍼니</t>
  </si>
  <si>
    <t>업종</t>
    <phoneticPr fontId="18" type="noConversion"/>
  </si>
  <si>
    <t>모바일 캐주얼 게임 개발 및 퍼블리싱</t>
    <phoneticPr fontId="18" type="noConversion"/>
  </si>
  <si>
    <t>부동산 검색</t>
    <phoneticPr fontId="18" type="noConversion"/>
  </si>
  <si>
    <t>피트니스 센터 통합 운영 관리 서비스</t>
    <phoneticPr fontId="18" type="noConversion"/>
  </si>
  <si>
    <t>소개팅 앱</t>
    <phoneticPr fontId="18" type="noConversion"/>
  </si>
  <si>
    <t>자산관리</t>
    <phoneticPr fontId="18" type="noConversion"/>
  </si>
  <si>
    <t>인테리어</t>
    <phoneticPr fontId="18" type="noConversion"/>
  </si>
  <si>
    <t>아파트 커뮤니케이션(소셜 네트워크)</t>
    <phoneticPr fontId="18" type="noConversion"/>
  </si>
  <si>
    <t>크라우드 펀딩</t>
    <phoneticPr fontId="18" type="noConversion"/>
  </si>
  <si>
    <t>지원</t>
  </si>
  <si>
    <t>지원</t>
    <phoneticPr fontId="18" type="noConversion"/>
  </si>
  <si>
    <t>중개</t>
  </si>
  <si>
    <t>중개</t>
    <phoneticPr fontId="18" type="noConversion"/>
  </si>
  <si>
    <t>추천</t>
  </si>
  <si>
    <t>추천</t>
    <phoneticPr fontId="18" type="noConversion"/>
  </si>
  <si>
    <t>연구/분석</t>
  </si>
  <si>
    <t>연구/분석</t>
    <phoneticPr fontId="18" type="noConversion"/>
  </si>
  <si>
    <t>사업 형태</t>
  </si>
  <si>
    <t>사업 형태</t>
    <phoneticPr fontId="18" type="noConversion"/>
  </si>
  <si>
    <t>중개</t>
    <phoneticPr fontId="18" type="noConversion"/>
  </si>
  <si>
    <t>지원</t>
    <phoneticPr fontId="18" type="noConversion"/>
  </si>
  <si>
    <t>유통</t>
  </si>
  <si>
    <t>유통</t>
    <phoneticPr fontId="18" type="noConversion"/>
  </si>
  <si>
    <t>지원</t>
    <phoneticPr fontId="18" type="noConversion"/>
  </si>
  <si>
    <t>홈, 세탁</t>
    <phoneticPr fontId="18" type="noConversion"/>
  </si>
  <si>
    <t>구독/멤버쉽</t>
  </si>
  <si>
    <t>구독/멤버쉽</t>
    <phoneticPr fontId="18" type="noConversion"/>
  </si>
  <si>
    <t>도서 콘텐츠</t>
    <phoneticPr fontId="18" type="noConversion"/>
  </si>
  <si>
    <t>중개</t>
    <phoneticPr fontId="18" type="noConversion"/>
  </si>
  <si>
    <t>해외쇼핑</t>
    <phoneticPr fontId="18" type="noConversion"/>
  </si>
  <si>
    <t>유통</t>
    <phoneticPr fontId="18" type="noConversion"/>
  </si>
  <si>
    <t>식자재</t>
    <phoneticPr fontId="18" type="noConversion"/>
  </si>
  <si>
    <t>중개</t>
    <phoneticPr fontId="18" type="noConversion"/>
  </si>
  <si>
    <t>아웃소싱</t>
    <phoneticPr fontId="18" type="noConversion"/>
  </si>
  <si>
    <t>지원</t>
    <phoneticPr fontId="18" type="noConversion"/>
  </si>
  <si>
    <t>교육</t>
    <phoneticPr fontId="18" type="noConversion"/>
  </si>
  <si>
    <t>유통</t>
    <phoneticPr fontId="18" type="noConversion"/>
  </si>
  <si>
    <t>애완동물, 종합쇼핑</t>
    <phoneticPr fontId="18" type="noConversion"/>
  </si>
  <si>
    <t>연구/분석</t>
    <phoneticPr fontId="18" type="noConversion"/>
  </si>
  <si>
    <t>금융</t>
    <phoneticPr fontId="18" type="noConversion"/>
  </si>
  <si>
    <t>지원</t>
    <phoneticPr fontId="18" type="noConversion"/>
  </si>
  <si>
    <t>헬스케어</t>
    <phoneticPr fontId="18" type="noConversion"/>
  </si>
  <si>
    <t>중고거래</t>
    <phoneticPr fontId="18" type="noConversion"/>
  </si>
  <si>
    <t>중개</t>
    <phoneticPr fontId="18" type="noConversion"/>
  </si>
  <si>
    <t>중개</t>
    <phoneticPr fontId="18" type="noConversion"/>
  </si>
  <si>
    <t>금융, 대부업</t>
    <phoneticPr fontId="18" type="noConversion"/>
  </si>
  <si>
    <t>법률/계약</t>
    <phoneticPr fontId="18" type="noConversion"/>
  </si>
  <si>
    <t>문서</t>
    <phoneticPr fontId="18" type="noConversion"/>
  </si>
  <si>
    <t>제조/공급</t>
  </si>
  <si>
    <t>제조/공급</t>
    <phoneticPr fontId="18" type="noConversion"/>
  </si>
  <si>
    <t>대여</t>
  </si>
  <si>
    <t>대여</t>
    <phoneticPr fontId="18" type="noConversion"/>
  </si>
  <si>
    <t>자전거 렌탈</t>
    <phoneticPr fontId="18" type="noConversion"/>
  </si>
  <si>
    <t>제조/공급</t>
    <phoneticPr fontId="18" type="noConversion"/>
  </si>
  <si>
    <t>쿠폰/멤버쉽, 광고마케팅</t>
    <phoneticPr fontId="18" type="noConversion"/>
  </si>
  <si>
    <t>패션, 액세서리</t>
    <phoneticPr fontId="18" type="noConversion"/>
  </si>
  <si>
    <t>자동차 주유소, 충전소</t>
    <phoneticPr fontId="18" type="noConversion"/>
  </si>
  <si>
    <t>지원</t>
    <phoneticPr fontId="18" type="noConversion"/>
  </si>
  <si>
    <t>블록체인</t>
    <phoneticPr fontId="18" type="noConversion"/>
  </si>
  <si>
    <t>유통</t>
    <phoneticPr fontId="18" type="noConversion"/>
  </si>
  <si>
    <t>패션, 의류</t>
    <phoneticPr fontId="18" type="noConversion"/>
  </si>
  <si>
    <t>아웃소싱</t>
    <phoneticPr fontId="18" type="noConversion"/>
  </si>
  <si>
    <t>패션, 명품</t>
    <phoneticPr fontId="18" type="noConversion"/>
  </si>
  <si>
    <t>유통</t>
    <phoneticPr fontId="18" type="noConversion"/>
  </si>
  <si>
    <t>유통</t>
    <phoneticPr fontId="18" type="noConversion"/>
  </si>
  <si>
    <t>식자재</t>
    <phoneticPr fontId="18" type="noConversion"/>
  </si>
  <si>
    <t>구독/멤버쉽</t>
    <phoneticPr fontId="18" type="noConversion"/>
  </si>
  <si>
    <t>영화, 드라마</t>
    <phoneticPr fontId="18" type="noConversion"/>
  </si>
  <si>
    <t>추천</t>
    <phoneticPr fontId="18" type="noConversion"/>
  </si>
  <si>
    <t>지원</t>
    <phoneticPr fontId="18" type="noConversion"/>
  </si>
  <si>
    <t>뷰티, 피부과, 가격비교</t>
    <phoneticPr fontId="18" type="noConversion"/>
  </si>
  <si>
    <t>자동차, 렌탈</t>
    <phoneticPr fontId="18" type="noConversion"/>
  </si>
  <si>
    <t>기업, 고객관리</t>
    <phoneticPr fontId="18" type="noConversion"/>
  </si>
  <si>
    <t>식자재</t>
    <phoneticPr fontId="18" type="noConversion"/>
  </si>
  <si>
    <t>지원</t>
    <phoneticPr fontId="18" type="noConversion"/>
  </si>
  <si>
    <t>헬스케어, 진료</t>
    <phoneticPr fontId="18" type="noConversion"/>
  </si>
  <si>
    <t>연구/분석</t>
    <phoneticPr fontId="18" type="noConversion"/>
  </si>
  <si>
    <t>바이오, 의료</t>
    <phoneticPr fontId="18" type="noConversion"/>
  </si>
  <si>
    <t>지원</t>
    <phoneticPr fontId="18" type="noConversion"/>
  </si>
  <si>
    <t>수산업, 정보제공</t>
    <phoneticPr fontId="18" type="noConversion"/>
  </si>
  <si>
    <t>부동산, 원룸/빌라</t>
    <phoneticPr fontId="18" type="noConversion"/>
  </si>
  <si>
    <t>중개</t>
    <phoneticPr fontId="18" type="noConversion"/>
  </si>
  <si>
    <t>보험, 컨설팅</t>
    <phoneticPr fontId="18" type="noConversion"/>
  </si>
  <si>
    <t>추천</t>
    <phoneticPr fontId="18" type="noConversion"/>
  </si>
  <si>
    <t>음식, 정보제공</t>
    <phoneticPr fontId="18" type="noConversion"/>
  </si>
  <si>
    <t>도서 콘텐츠</t>
    <phoneticPr fontId="18" type="noConversion"/>
  </si>
  <si>
    <t>예약</t>
  </si>
  <si>
    <t>예약</t>
    <phoneticPr fontId="18" type="noConversion"/>
  </si>
  <si>
    <t>스포츠, 축구</t>
    <phoneticPr fontId="18" type="noConversion"/>
  </si>
  <si>
    <t>투자</t>
  </si>
  <si>
    <t>투자</t>
    <phoneticPr fontId="18" type="noConversion"/>
  </si>
  <si>
    <t>금융, 자산관리</t>
    <phoneticPr fontId="18" type="noConversion"/>
  </si>
  <si>
    <t>데이터 기록/관리</t>
    <phoneticPr fontId="18" type="noConversion"/>
  </si>
  <si>
    <t>지원</t>
    <phoneticPr fontId="18" type="noConversion"/>
  </si>
  <si>
    <t>금융, 송금/결제</t>
    <phoneticPr fontId="18" type="noConversion"/>
  </si>
  <si>
    <t>인사관리</t>
    <phoneticPr fontId="18" type="noConversion"/>
  </si>
  <si>
    <t>추천</t>
    <phoneticPr fontId="18" type="noConversion"/>
  </si>
  <si>
    <t>패션, 종합쇼핑</t>
    <phoneticPr fontId="18" type="noConversion"/>
  </si>
  <si>
    <t>중개</t>
    <phoneticPr fontId="18" type="noConversion"/>
  </si>
  <si>
    <t>자동차, 주차</t>
    <phoneticPr fontId="18" type="noConversion"/>
  </si>
  <si>
    <t>자동차, 종합쇼핑</t>
    <phoneticPr fontId="18" type="noConversion"/>
  </si>
  <si>
    <t>메신저</t>
    <phoneticPr fontId="18" type="noConversion"/>
  </si>
  <si>
    <t>대여</t>
    <phoneticPr fontId="18" type="noConversion"/>
  </si>
  <si>
    <t>자동차, 렌탈</t>
    <phoneticPr fontId="18" type="noConversion"/>
  </si>
  <si>
    <t>인사관리</t>
    <phoneticPr fontId="18" type="noConversion"/>
  </si>
  <si>
    <t>범죄예방</t>
    <phoneticPr fontId="18" type="noConversion"/>
  </si>
  <si>
    <t>중개</t>
    <phoneticPr fontId="18" type="noConversion"/>
  </si>
  <si>
    <t>음식, 주문/배달</t>
    <phoneticPr fontId="18" type="noConversion"/>
  </si>
  <si>
    <t>애니메이션/웹툰</t>
    <phoneticPr fontId="18" type="noConversion"/>
  </si>
  <si>
    <t>교육, 외국어</t>
    <phoneticPr fontId="18" type="noConversion"/>
  </si>
  <si>
    <t>도서 콘텐츠</t>
    <phoneticPr fontId="18" type="noConversion"/>
  </si>
  <si>
    <t>지원</t>
    <phoneticPr fontId="18" type="noConversion"/>
  </si>
  <si>
    <t>헬스케어, 정신건강</t>
    <phoneticPr fontId="18" type="noConversion"/>
  </si>
  <si>
    <t>그룹웨어</t>
    <phoneticPr fontId="18" type="noConversion"/>
  </si>
  <si>
    <t>홈, 청소, 정보제공</t>
    <phoneticPr fontId="18" type="noConversion"/>
  </si>
  <si>
    <t>중개</t>
    <phoneticPr fontId="18" type="noConversion"/>
  </si>
  <si>
    <t>유아관리</t>
    <phoneticPr fontId="18" type="noConversion"/>
  </si>
  <si>
    <t>유통</t>
    <phoneticPr fontId="18" type="noConversion"/>
  </si>
  <si>
    <t>패션, 명품</t>
    <phoneticPr fontId="18" type="noConversion"/>
  </si>
  <si>
    <t>자동차, 주차</t>
    <phoneticPr fontId="18" type="noConversion"/>
  </si>
  <si>
    <t>유통</t>
    <phoneticPr fontId="18" type="noConversion"/>
  </si>
  <si>
    <t>홈, 청소</t>
    <phoneticPr fontId="18" type="noConversion"/>
  </si>
  <si>
    <t>구독/멤버쉽</t>
    <phoneticPr fontId="18" type="noConversion"/>
  </si>
  <si>
    <t>사원 수 (22.02.01 기준)</t>
    <phoneticPr fontId="18" type="noConversion"/>
  </si>
  <si>
    <t>유통</t>
    <phoneticPr fontId="18" type="noConversion"/>
  </si>
  <si>
    <t>쇼핑, 수공예품</t>
    <phoneticPr fontId="18" type="noConversion"/>
  </si>
  <si>
    <t>구독/멤버쉽</t>
    <phoneticPr fontId="18" type="noConversion"/>
  </si>
  <si>
    <t>음식, 쿠폰/멤버쉽</t>
    <phoneticPr fontId="18" type="noConversion"/>
  </si>
  <si>
    <t>스포츠, 의류</t>
    <phoneticPr fontId="18" type="noConversion"/>
  </si>
  <si>
    <t>채용</t>
    <phoneticPr fontId="18" type="noConversion"/>
  </si>
  <si>
    <t>금융, 송금/결제</t>
    <phoneticPr fontId="18" type="noConversion"/>
  </si>
  <si>
    <t>금융, 금융상품</t>
    <phoneticPr fontId="18" type="noConversion"/>
  </si>
  <si>
    <t>지원</t>
    <phoneticPr fontId="18" type="noConversion"/>
  </si>
  <si>
    <t>홈, 청소</t>
    <phoneticPr fontId="18" type="noConversion"/>
  </si>
  <si>
    <t>구독/멤버쉽</t>
    <phoneticPr fontId="18" type="noConversion"/>
  </si>
  <si>
    <t>헬스케어</t>
    <phoneticPr fontId="18" type="noConversion"/>
  </si>
  <si>
    <t>인사관리</t>
    <phoneticPr fontId="18" type="noConversion"/>
  </si>
  <si>
    <t>제조/공급</t>
    <phoneticPr fontId="18" type="noConversion"/>
  </si>
  <si>
    <t>스포츠, 의류</t>
    <phoneticPr fontId="18" type="noConversion"/>
  </si>
  <si>
    <t>예약</t>
    <phoneticPr fontId="18" type="noConversion"/>
  </si>
  <si>
    <t>모임/행사, 유휴공간</t>
    <phoneticPr fontId="18" type="noConversion"/>
  </si>
  <si>
    <t>지원</t>
    <phoneticPr fontId="18" type="noConversion"/>
  </si>
  <si>
    <t>게임, 데이터분석</t>
    <phoneticPr fontId="18" type="noConversion"/>
  </si>
  <si>
    <t>중개</t>
    <phoneticPr fontId="18" type="noConversion"/>
  </si>
  <si>
    <t>음식, 주문/배달</t>
    <phoneticPr fontId="18" type="noConversion"/>
  </si>
  <si>
    <t>생활, 운세</t>
    <phoneticPr fontId="18" type="noConversion"/>
  </si>
  <si>
    <t>채용</t>
    <phoneticPr fontId="18" type="noConversion"/>
  </si>
  <si>
    <t>중개</t>
    <phoneticPr fontId="18" type="noConversion"/>
  </si>
  <si>
    <t>생활, 결혼</t>
    <phoneticPr fontId="18" type="noConversion"/>
  </si>
  <si>
    <t>홈, 이사</t>
    <phoneticPr fontId="18" type="noConversion"/>
  </si>
  <si>
    <t>홈, 인테리어</t>
    <phoneticPr fontId="18" type="noConversion"/>
  </si>
  <si>
    <t>중개</t>
    <phoneticPr fontId="18" type="noConversion"/>
  </si>
  <si>
    <t>부동산, 원룸/빌라</t>
    <phoneticPr fontId="18" type="noConversion"/>
  </si>
  <si>
    <t>지원</t>
    <phoneticPr fontId="18" type="noConversion"/>
  </si>
  <si>
    <t>데이터가공</t>
    <phoneticPr fontId="18" type="noConversion"/>
  </si>
  <si>
    <t>교육, 교육보조</t>
    <phoneticPr fontId="18" type="noConversion"/>
  </si>
  <si>
    <t>생활, 취미</t>
    <phoneticPr fontId="18" type="noConversion"/>
  </si>
  <si>
    <t>제조/공급</t>
    <phoneticPr fontId="18" type="noConversion"/>
  </si>
  <si>
    <t>헬스케어, 위생용품</t>
    <phoneticPr fontId="18" type="noConversion"/>
  </si>
  <si>
    <t>생활, 취미</t>
    <phoneticPr fontId="18" type="noConversion"/>
  </si>
  <si>
    <t>여행, 여행상품/가이드</t>
    <phoneticPr fontId="18" type="noConversion"/>
  </si>
  <si>
    <t>교육, 수학교육</t>
    <phoneticPr fontId="18" type="noConversion"/>
  </si>
  <si>
    <t>중개</t>
    <phoneticPr fontId="18" type="noConversion"/>
  </si>
  <si>
    <t>부동산, 아파트</t>
    <phoneticPr fontId="18" type="noConversion"/>
  </si>
  <si>
    <t>금융</t>
    <phoneticPr fontId="18" type="noConversion"/>
  </si>
  <si>
    <t>모임/행사</t>
    <phoneticPr fontId="18" type="noConversion"/>
  </si>
  <si>
    <t>의료·바이오</t>
    <phoneticPr fontId="18" type="noConversion"/>
  </si>
  <si>
    <t>범죄예방</t>
    <phoneticPr fontId="18" type="noConversion"/>
  </si>
  <si>
    <t>부동산</t>
    <phoneticPr fontId="18" type="noConversion"/>
  </si>
  <si>
    <t>뷰티</t>
    <phoneticPr fontId="18" type="noConversion"/>
  </si>
  <si>
    <t>블록체인</t>
    <phoneticPr fontId="18" type="noConversion"/>
  </si>
  <si>
    <t>커뮤니케이션</t>
    <phoneticPr fontId="18" type="noConversion"/>
  </si>
  <si>
    <t>여행</t>
    <phoneticPr fontId="18" type="noConversion"/>
  </si>
  <si>
    <t>중고거래</t>
    <phoneticPr fontId="18" type="noConversion"/>
  </si>
  <si>
    <t>크라우드 펀딩</t>
    <phoneticPr fontId="18" type="noConversion"/>
  </si>
  <si>
    <t>패션</t>
    <phoneticPr fontId="18" type="noConversion"/>
  </si>
  <si>
    <t>협업 및 업무지원</t>
    <phoneticPr fontId="18" type="noConversion"/>
  </si>
  <si>
    <t>컨설팅</t>
    <phoneticPr fontId="18" type="noConversion"/>
  </si>
  <si>
    <t>음식·식자재</t>
    <phoneticPr fontId="18" type="noConversion"/>
  </si>
  <si>
    <t>보험, 법률, 자산관리</t>
    <phoneticPr fontId="18" type="noConversion"/>
  </si>
  <si>
    <t>자동차·자전거</t>
    <phoneticPr fontId="18" type="noConversion"/>
  </si>
  <si>
    <t>인테리어, 세탁, 청소, 유아관리, 애완동물</t>
    <phoneticPr fontId="18" type="noConversion"/>
  </si>
  <si>
    <t>소개팅 앱 포함</t>
    <phoneticPr fontId="18" type="noConversion"/>
  </si>
  <si>
    <t>쿠폰/광고마케팅</t>
    <phoneticPr fontId="18" type="noConversion"/>
  </si>
  <si>
    <t>생활(취미, 결혼) 포함</t>
    <phoneticPr fontId="18" type="noConversion"/>
  </si>
  <si>
    <t>쇼핑 포함</t>
    <phoneticPr fontId="18" type="noConversion"/>
  </si>
  <si>
    <t>그룹웨어, 메신저, 고객/인사관리, 문서작업, 데이터 기록/가공</t>
    <phoneticPr fontId="18" type="noConversion"/>
  </si>
  <si>
    <t>게임, 스포츠</t>
    <phoneticPr fontId="18" type="noConversion"/>
  </si>
  <si>
    <t>배달대행, 아웃소싱</t>
    <phoneticPr fontId="18" type="noConversion"/>
  </si>
  <si>
    <t>콘텐츠(도서, 영화, 애니메이션, 드라마)</t>
    <phoneticPr fontId="18" type="noConversion"/>
  </si>
  <si>
    <t>라이프&amp;홈 서비스</t>
    <phoneticPr fontId="18" type="noConversion"/>
  </si>
  <si>
    <t>헬스케어&amp;의료</t>
    <phoneticPr fontId="18" type="noConversion"/>
  </si>
  <si>
    <t>업종</t>
    <phoneticPr fontId="18" type="noConversion"/>
  </si>
  <si>
    <t>count</t>
    <phoneticPr fontId="18" type="noConversion"/>
  </si>
  <si>
    <t>count</t>
    <phoneticPr fontId="18" type="noConversion"/>
  </si>
  <si>
    <t>Cluster 1</t>
  </si>
  <si>
    <t>Cluster 2</t>
  </si>
  <si>
    <t>Cluster 3</t>
  </si>
  <si>
    <t>Cluster 4</t>
  </si>
  <si>
    <t>Cluster 3</t>
    <phoneticPr fontId="18" type="noConversion"/>
  </si>
  <si>
    <t>Cluster 4</t>
    <phoneticPr fontId="18" type="noConversion"/>
  </si>
  <si>
    <t>Cluster 5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</si>
</sst>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"/>
      <family val="2"/>
    </font>
    <font>
      <sz val="10"/>
      <color rgb="FF000000"/>
      <name val="맑은 고딕"/>
      <family val="3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12" xfId="0" applyFont="1" applyBorder="1" applyAlignment="1">
      <alignment horizontal="right" vertical="center" wrapText="1" readingOrder="1"/>
    </xf>
    <xf numFmtId="0" fontId="20" fillId="0" borderId="13" xfId="0" applyFont="1" applyBorder="1" applyAlignment="1">
      <alignment horizontal="right" vertical="center" wrapText="1" readingOrder="1"/>
    </xf>
    <xf numFmtId="0" fontId="20" fillId="0" borderId="10" xfId="0" applyFont="1" applyBorder="1" applyAlignment="1">
      <alignment horizontal="right" vertical="center" wrapText="1" readingOrder="1"/>
    </xf>
    <xf numFmtId="0" fontId="20" fillId="0" borderId="11" xfId="0" applyFont="1" applyBorder="1" applyAlignment="1">
      <alignment horizontal="right" vertical="center" wrapText="1" readingOrder="1"/>
    </xf>
    <xf numFmtId="0" fontId="20" fillId="0" borderId="12" xfId="0" applyFont="1" applyBorder="1" applyAlignment="1">
      <alignment horizontal="right" vertical="center" wrapText="1" readingOrder="1"/>
    </xf>
    <xf numFmtId="0" fontId="0" fillId="0" borderId="0" xfId="0" applyFill="1">
      <alignment vertical="center"/>
    </xf>
    <xf numFmtId="0" fontId="19" fillId="0" borderId="0" xfId="0" applyFont="1" applyBorder="1" applyAlignment="1">
      <alignment horizontal="right" vertical="center" wrapText="1" readingOrder="1"/>
    </xf>
    <xf numFmtId="0" fontId="20" fillId="0" borderId="0" xfId="0" applyFont="1" applyBorder="1" applyAlignment="1">
      <alignment horizontal="right" vertical="center" wrapText="1" readingOrder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2"/>
  <sheetViews>
    <sheetView tabSelected="1" zoomScaleNormal="100" workbookViewId="0">
      <selection activeCell="R24" sqref="R24"/>
    </sheetView>
  </sheetViews>
  <sheetFormatPr defaultRowHeight="17.399999999999999" x14ac:dyDescent="0.4"/>
  <cols>
    <col min="1" max="1" width="14.296875" customWidth="1"/>
    <col min="9" max="10" width="6" customWidth="1"/>
    <col min="11" max="11" width="10.3984375" customWidth="1"/>
    <col min="12" max="12" width="12.59765625" customWidth="1"/>
  </cols>
  <sheetData>
    <row r="1" spans="1:13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K1" t="s">
        <v>127</v>
      </c>
      <c r="L1" t="s">
        <v>109</v>
      </c>
      <c r="M1" t="s">
        <v>232</v>
      </c>
    </row>
    <row r="2" spans="1:13" x14ac:dyDescent="0.4">
      <c r="A2" s="7" t="s">
        <v>69</v>
      </c>
      <c r="B2">
        <v>5.3931070000000003E-3</v>
      </c>
      <c r="C2">
        <v>0.10189390800000001</v>
      </c>
      <c r="D2">
        <v>1548688.699</v>
      </c>
      <c r="E2">
        <v>18.893358620000001</v>
      </c>
      <c r="F2">
        <v>27.392042329999999</v>
      </c>
      <c r="G2">
        <v>15.11695113</v>
      </c>
      <c r="H2">
        <v>43737.126329999999</v>
      </c>
      <c r="I2">
        <v>1</v>
      </c>
      <c r="K2" t="s">
        <v>250</v>
      </c>
      <c r="L2" t="s">
        <v>251</v>
      </c>
      <c r="M2">
        <v>82</v>
      </c>
    </row>
    <row r="3" spans="1:13" x14ac:dyDescent="0.4">
      <c r="A3" s="7" t="s">
        <v>91</v>
      </c>
      <c r="B3">
        <v>2.5427969999999999E-3</v>
      </c>
      <c r="C3">
        <v>0.142443769</v>
      </c>
      <c r="D3">
        <v>31118</v>
      </c>
      <c r="E3">
        <v>56.018544550000001</v>
      </c>
      <c r="F3">
        <v>27.765902140000001</v>
      </c>
      <c r="G3">
        <v>18.6825923</v>
      </c>
      <c r="H3">
        <v>1148.0578</v>
      </c>
      <c r="I3">
        <v>1</v>
      </c>
      <c r="K3" t="s">
        <v>143</v>
      </c>
      <c r="L3" t="s">
        <v>264</v>
      </c>
      <c r="M3">
        <v>33</v>
      </c>
    </row>
    <row r="4" spans="1:13" x14ac:dyDescent="0.4">
      <c r="A4" s="7" t="s">
        <v>103</v>
      </c>
      <c r="B4">
        <v>1.820204E-3</v>
      </c>
      <c r="C4">
        <v>8.8812833999999993E-2</v>
      </c>
      <c r="D4">
        <v>104194.7708</v>
      </c>
      <c r="E4">
        <v>48.792781490000003</v>
      </c>
      <c r="F4">
        <v>42.893656069999999</v>
      </c>
      <c r="G4">
        <v>28.362995739999999</v>
      </c>
      <c r="H4">
        <v>2409.2578530000001</v>
      </c>
      <c r="I4">
        <v>1</v>
      </c>
      <c r="K4" t="s">
        <v>175</v>
      </c>
      <c r="L4" t="s">
        <v>270</v>
      </c>
      <c r="M4">
        <v>107</v>
      </c>
    </row>
    <row r="5" spans="1:13" x14ac:dyDescent="0.4">
      <c r="A5" t="s">
        <v>11</v>
      </c>
      <c r="B5">
        <v>6.3046599999999999E-4</v>
      </c>
      <c r="C5">
        <v>0.17665193100000001</v>
      </c>
      <c r="D5">
        <v>227581</v>
      </c>
      <c r="E5">
        <v>280.19248069999998</v>
      </c>
      <c r="F5">
        <v>31.788135050000001</v>
      </c>
      <c r="G5">
        <v>24.359547020000001</v>
      </c>
      <c r="H5">
        <v>10122.5249</v>
      </c>
      <c r="I5">
        <v>3</v>
      </c>
      <c r="K5" t="s">
        <v>131</v>
      </c>
      <c r="L5" t="s">
        <v>110</v>
      </c>
      <c r="M5">
        <v>10</v>
      </c>
    </row>
    <row r="6" spans="1:13" x14ac:dyDescent="0.4">
      <c r="A6" s="7" t="s">
        <v>23</v>
      </c>
      <c r="B6">
        <v>1.5533140000000001E-3</v>
      </c>
      <c r="C6">
        <v>0.10761364900000001</v>
      </c>
      <c r="D6">
        <v>1561346</v>
      </c>
      <c r="E6">
        <v>69.280041299999993</v>
      </c>
      <c r="F6">
        <v>38.822705499999998</v>
      </c>
      <c r="G6">
        <v>26.7590018</v>
      </c>
      <c r="H6">
        <v>43226.91706</v>
      </c>
      <c r="I6">
        <v>1</v>
      </c>
      <c r="K6" t="s">
        <v>143</v>
      </c>
      <c r="L6" t="s">
        <v>218</v>
      </c>
      <c r="M6">
        <v>8</v>
      </c>
    </row>
    <row r="7" spans="1:13" x14ac:dyDescent="0.4">
      <c r="A7" t="s">
        <v>13</v>
      </c>
      <c r="B7">
        <v>1.54492E-4</v>
      </c>
      <c r="C7">
        <v>0.172096472</v>
      </c>
      <c r="D7">
        <v>279337</v>
      </c>
      <c r="E7">
        <v>1113.9542610000001</v>
      </c>
      <c r="F7">
        <v>40.729359119999998</v>
      </c>
      <c r="G7">
        <v>33.083782749999997</v>
      </c>
      <c r="H7">
        <v>12039.815350000001</v>
      </c>
      <c r="I7">
        <v>4</v>
      </c>
      <c r="K7" t="s">
        <v>149</v>
      </c>
      <c r="L7" t="s">
        <v>150</v>
      </c>
      <c r="M7">
        <v>76</v>
      </c>
    </row>
    <row r="8" spans="1:13" x14ac:dyDescent="0.4">
      <c r="A8" t="s">
        <v>14</v>
      </c>
      <c r="B8">
        <v>5.0676189999999998E-3</v>
      </c>
      <c r="C8">
        <v>1.0732837E-2</v>
      </c>
      <c r="D8">
        <v>143694.32939999999</v>
      </c>
      <c r="E8">
        <v>2.1179248980000001</v>
      </c>
      <c r="F8">
        <v>47.494627170000001</v>
      </c>
      <c r="G8">
        <v>-35.85473065</v>
      </c>
      <c r="H8">
        <v>835.61141789999999</v>
      </c>
      <c r="I8">
        <v>5</v>
      </c>
      <c r="K8" t="s">
        <v>185</v>
      </c>
      <c r="L8" t="s">
        <v>186</v>
      </c>
      <c r="M8">
        <v>36</v>
      </c>
    </row>
    <row r="9" spans="1:13" x14ac:dyDescent="0.4">
      <c r="A9" t="s">
        <v>15</v>
      </c>
      <c r="B9">
        <v>1.61192E-4</v>
      </c>
      <c r="C9">
        <v>0.13880103099999999</v>
      </c>
      <c r="D9">
        <v>22725271.760000002</v>
      </c>
      <c r="E9">
        <v>861.09131349999996</v>
      </c>
      <c r="F9">
        <v>48.633365300000001</v>
      </c>
      <c r="G9">
        <v>39.156272399999999</v>
      </c>
      <c r="H9">
        <v>790405.41700000002</v>
      </c>
      <c r="I9">
        <v>4</v>
      </c>
      <c r="K9" t="s">
        <v>152</v>
      </c>
      <c r="L9" t="s">
        <v>151</v>
      </c>
      <c r="M9">
        <v>294</v>
      </c>
    </row>
    <row r="10" spans="1:13" x14ac:dyDescent="0.4">
      <c r="A10" s="7" t="s">
        <v>28</v>
      </c>
      <c r="B10">
        <v>3.267303E-3</v>
      </c>
      <c r="C10">
        <v>6.3280093999999995E-2</v>
      </c>
      <c r="D10">
        <v>40153.117140000002</v>
      </c>
      <c r="E10">
        <v>19.367682779999999</v>
      </c>
      <c r="F10">
        <v>44.5337605</v>
      </c>
      <c r="G10">
        <v>24.743987260000001</v>
      </c>
      <c r="H10">
        <v>702.51290489999997</v>
      </c>
      <c r="I10">
        <v>1</v>
      </c>
      <c r="K10" t="s">
        <v>183</v>
      </c>
      <c r="L10" t="s">
        <v>218</v>
      </c>
      <c r="M10">
        <v>56</v>
      </c>
    </row>
    <row r="11" spans="1:13" x14ac:dyDescent="0.4">
      <c r="A11" t="s">
        <v>17</v>
      </c>
      <c r="B11">
        <v>1.016921E-2</v>
      </c>
      <c r="C11">
        <v>2.1680901999999998E-2</v>
      </c>
      <c r="D11">
        <v>251085.1249</v>
      </c>
      <c r="E11">
        <v>2.1320144810000001</v>
      </c>
      <c r="F11">
        <v>23.769690369999999</v>
      </c>
      <c r="G11">
        <v>-17.578920920000002</v>
      </c>
      <c r="H11">
        <v>2937.0109590000002</v>
      </c>
      <c r="I11">
        <v>5</v>
      </c>
      <c r="K11" t="s">
        <v>187</v>
      </c>
      <c r="L11" t="s">
        <v>188</v>
      </c>
      <c r="M11">
        <v>130</v>
      </c>
    </row>
    <row r="12" spans="1:13" x14ac:dyDescent="0.4">
      <c r="A12" t="s">
        <v>18</v>
      </c>
      <c r="B12">
        <v>9.3374579999999999E-3</v>
      </c>
      <c r="C12">
        <v>2.1891411999999999E-2</v>
      </c>
      <c r="D12">
        <v>353311.3541</v>
      </c>
      <c r="E12">
        <v>2.3444723390000002</v>
      </c>
      <c r="F12">
        <v>27.284380169999999</v>
      </c>
      <c r="G12">
        <v>-14.886786989999999</v>
      </c>
      <c r="H12">
        <v>3934.9241750000001</v>
      </c>
      <c r="I12">
        <v>5</v>
      </c>
      <c r="K12" t="s">
        <v>152</v>
      </c>
      <c r="L12" t="s">
        <v>189</v>
      </c>
      <c r="M12">
        <v>53</v>
      </c>
    </row>
    <row r="13" spans="1:13" x14ac:dyDescent="0.4">
      <c r="A13" t="s">
        <v>19</v>
      </c>
      <c r="B13">
        <v>6.3041499999999995E-4</v>
      </c>
      <c r="C13">
        <v>0.176654966</v>
      </c>
      <c r="D13">
        <v>227581</v>
      </c>
      <c r="E13">
        <v>280.22011850000001</v>
      </c>
      <c r="F13">
        <v>31.788156470000001</v>
      </c>
      <c r="G13">
        <v>24.359693450000002</v>
      </c>
      <c r="H13">
        <v>10122.69169</v>
      </c>
      <c r="I13">
        <v>3</v>
      </c>
      <c r="K13" t="s">
        <v>128</v>
      </c>
      <c r="L13" t="s">
        <v>111</v>
      </c>
      <c r="M13">
        <v>16</v>
      </c>
    </row>
    <row r="14" spans="1:13" x14ac:dyDescent="0.4">
      <c r="A14" t="s">
        <v>20</v>
      </c>
      <c r="B14">
        <v>1.87042E-4</v>
      </c>
      <c r="C14">
        <v>8.9717430000000001E-2</v>
      </c>
      <c r="D14">
        <v>145129.39619999999</v>
      </c>
      <c r="E14">
        <v>479.66522090000001</v>
      </c>
      <c r="F14">
        <v>68.66275143</v>
      </c>
      <c r="G14">
        <v>54.014337730000001</v>
      </c>
      <c r="H14">
        <v>3268.7458929999998</v>
      </c>
      <c r="I14">
        <v>4</v>
      </c>
      <c r="K14" t="s">
        <v>153</v>
      </c>
      <c r="L14" t="s">
        <v>154</v>
      </c>
    </row>
    <row r="15" spans="1:13" x14ac:dyDescent="0.4">
      <c r="A15" t="s">
        <v>85</v>
      </c>
      <c r="B15">
        <v>7.5976769999999997E-3</v>
      </c>
      <c r="C15">
        <v>7.4043613999999994E-2</v>
      </c>
      <c r="D15">
        <v>280645</v>
      </c>
      <c r="E15">
        <v>9.7455599290000006</v>
      </c>
      <c r="F15">
        <v>27.887993460000001</v>
      </c>
      <c r="G15">
        <v>11.75696612</v>
      </c>
      <c r="H15">
        <v>6315.8155129999996</v>
      </c>
      <c r="I15">
        <v>2</v>
      </c>
      <c r="K15" t="s">
        <v>262</v>
      </c>
      <c r="L15" t="s">
        <v>218</v>
      </c>
      <c r="M15">
        <v>19</v>
      </c>
    </row>
    <row r="16" spans="1:13" x14ac:dyDescent="0.4">
      <c r="A16" t="s">
        <v>97</v>
      </c>
      <c r="B16">
        <v>1.3170308E-2</v>
      </c>
      <c r="C16">
        <v>5.7814829999999998E-2</v>
      </c>
      <c r="D16">
        <v>330459</v>
      </c>
      <c r="E16">
        <v>4.3897856019999999</v>
      </c>
      <c r="F16">
        <v>20.839297129999999</v>
      </c>
      <c r="G16">
        <v>2.2867109249999999</v>
      </c>
      <c r="H16">
        <v>7200.3433420000001</v>
      </c>
      <c r="I16">
        <v>2</v>
      </c>
      <c r="K16" t="s">
        <v>143</v>
      </c>
      <c r="L16" t="s">
        <v>218</v>
      </c>
    </row>
    <row r="17" spans="1:13" x14ac:dyDescent="0.4">
      <c r="A17" t="s">
        <v>24</v>
      </c>
      <c r="B17">
        <v>5.9570100000000002E-4</v>
      </c>
      <c r="C17">
        <v>5.6990610999999997E-2</v>
      </c>
      <c r="D17">
        <v>982928.59360000002</v>
      </c>
      <c r="E17">
        <v>95.669898290000006</v>
      </c>
      <c r="F17">
        <v>79.201178100000007</v>
      </c>
      <c r="G17">
        <v>56.331890860000001</v>
      </c>
      <c r="H17">
        <v>14298.720880000001</v>
      </c>
      <c r="I17">
        <v>3</v>
      </c>
      <c r="K17" t="s">
        <v>129</v>
      </c>
      <c r="L17" t="s">
        <v>112</v>
      </c>
      <c r="M17">
        <v>21</v>
      </c>
    </row>
    <row r="18" spans="1:13" x14ac:dyDescent="0.4">
      <c r="A18" t="s">
        <v>25</v>
      </c>
      <c r="B18">
        <v>2.12015E-4</v>
      </c>
      <c r="C18">
        <v>2.7631932000000001E-2</v>
      </c>
      <c r="D18">
        <v>961907.83689999999</v>
      </c>
      <c r="E18">
        <v>130.32990799999999</v>
      </c>
      <c r="F18">
        <v>174.9058422</v>
      </c>
      <c r="G18">
        <v>127.6080256</v>
      </c>
      <c r="H18">
        <v>6747.2036790000002</v>
      </c>
      <c r="I18">
        <v>4</v>
      </c>
      <c r="K18" t="s">
        <v>141</v>
      </c>
      <c r="L18" t="s">
        <v>155</v>
      </c>
      <c r="M18">
        <v>78</v>
      </c>
    </row>
    <row r="19" spans="1:13" x14ac:dyDescent="0.4">
      <c r="A19" t="s">
        <v>29</v>
      </c>
      <c r="B19">
        <v>5.869951E-3</v>
      </c>
      <c r="C19">
        <v>2.4482276000000001E-2</v>
      </c>
      <c r="D19">
        <v>60496.164239999998</v>
      </c>
      <c r="E19">
        <v>4.1707803009999997</v>
      </c>
      <c r="F19">
        <v>47.051016750000002</v>
      </c>
      <c r="G19">
        <v>3.6618480739999999</v>
      </c>
      <c r="H19">
        <v>569.11126390000004</v>
      </c>
      <c r="I19">
        <v>2</v>
      </c>
      <c r="K19" t="s">
        <v>175</v>
      </c>
      <c r="L19" t="s">
        <v>222</v>
      </c>
      <c r="M19">
        <v>63</v>
      </c>
    </row>
    <row r="20" spans="1:13" x14ac:dyDescent="0.4">
      <c r="A20" t="s">
        <v>27</v>
      </c>
      <c r="B20">
        <v>1.9587092E-2</v>
      </c>
      <c r="C20">
        <v>1.9856064E-2</v>
      </c>
      <c r="D20">
        <v>287484</v>
      </c>
      <c r="E20">
        <v>1.0137321020000001</v>
      </c>
      <c r="F20">
        <v>0.345780423</v>
      </c>
      <c r="G20">
        <v>-33.042974870000002</v>
      </c>
      <c r="H20">
        <v>5631.2374840000002</v>
      </c>
      <c r="I20">
        <v>5</v>
      </c>
      <c r="K20" t="s">
        <v>141</v>
      </c>
      <c r="L20" t="s">
        <v>191</v>
      </c>
      <c r="M20">
        <v>514</v>
      </c>
    </row>
    <row r="21" spans="1:13" x14ac:dyDescent="0.4">
      <c r="A21" t="s">
        <v>55</v>
      </c>
      <c r="B21">
        <v>1.2704253E-2</v>
      </c>
      <c r="C21">
        <v>0.10972881299999999</v>
      </c>
      <c r="D21">
        <v>80845</v>
      </c>
      <c r="E21">
        <v>8.6371715790000003</v>
      </c>
      <c r="F21">
        <v>17.610235899999999</v>
      </c>
      <c r="G21">
        <v>6.8536817660000002</v>
      </c>
      <c r="H21">
        <v>2761.0224750000002</v>
      </c>
      <c r="I21">
        <v>2</v>
      </c>
      <c r="K21" t="s">
        <v>143</v>
      </c>
      <c r="L21" t="s">
        <v>240</v>
      </c>
      <c r="M21">
        <v>14</v>
      </c>
    </row>
    <row r="22" spans="1:13" x14ac:dyDescent="0.4">
      <c r="A22" t="s">
        <v>53</v>
      </c>
      <c r="B22">
        <v>7.5032980000000003E-3</v>
      </c>
      <c r="C22">
        <v>9.7811556999999993E-2</v>
      </c>
      <c r="D22">
        <v>12476686.300000001</v>
      </c>
      <c r="E22">
        <v>13.0358093</v>
      </c>
      <c r="F22">
        <v>24.381177080000001</v>
      </c>
      <c r="G22">
        <v>11.87621854</v>
      </c>
      <c r="H22">
        <v>353694.54330000002</v>
      </c>
      <c r="I22">
        <v>2</v>
      </c>
      <c r="K22" t="s">
        <v>207</v>
      </c>
      <c r="L22" t="s">
        <v>239</v>
      </c>
      <c r="M22">
        <v>675</v>
      </c>
    </row>
    <row r="23" spans="1:13" x14ac:dyDescent="0.4">
      <c r="A23" s="7" t="s">
        <v>88</v>
      </c>
      <c r="B23">
        <v>3.0977940000000001E-3</v>
      </c>
      <c r="C23">
        <v>0.11963301799999999</v>
      </c>
      <c r="D23">
        <v>54626</v>
      </c>
      <c r="E23">
        <v>38.618772919999998</v>
      </c>
      <c r="F23">
        <v>29.770343950000001</v>
      </c>
      <c r="G23">
        <v>19.039885399999999</v>
      </c>
      <c r="H23">
        <v>1719.473823</v>
      </c>
      <c r="I23">
        <v>1</v>
      </c>
      <c r="K23" t="s">
        <v>224</v>
      </c>
      <c r="L23" t="s">
        <v>263</v>
      </c>
      <c r="M23">
        <v>102</v>
      </c>
    </row>
    <row r="24" spans="1:13" x14ac:dyDescent="0.4">
      <c r="A24" s="7" t="s">
        <v>43</v>
      </c>
      <c r="B24">
        <v>3.0758159999999999E-3</v>
      </c>
      <c r="C24">
        <v>0.11440995900000001</v>
      </c>
      <c r="D24">
        <v>1442054.2579999999</v>
      </c>
      <c r="E24">
        <v>37.196623520000003</v>
      </c>
      <c r="F24">
        <v>30.780049810000001</v>
      </c>
      <c r="G24">
        <v>19.570540380000001</v>
      </c>
      <c r="H24">
        <v>43493.899770000004</v>
      </c>
      <c r="I24">
        <v>1</v>
      </c>
      <c r="K24" t="s">
        <v>231</v>
      </c>
      <c r="L24" t="s">
        <v>136</v>
      </c>
      <c r="M24">
        <v>114</v>
      </c>
    </row>
    <row r="25" spans="1:13" x14ac:dyDescent="0.4">
      <c r="A25" t="s">
        <v>26</v>
      </c>
      <c r="B25">
        <v>1.0349426E-2</v>
      </c>
      <c r="C25">
        <v>7.5808406999999994E-2</v>
      </c>
      <c r="D25">
        <v>2239945.656</v>
      </c>
      <c r="E25">
        <v>7.3248901499999999</v>
      </c>
      <c r="F25">
        <v>23.111980679999999</v>
      </c>
      <c r="G25">
        <v>7.8265694760000004</v>
      </c>
      <c r="H25">
        <v>54833.96499</v>
      </c>
      <c r="I25">
        <v>2</v>
      </c>
      <c r="K25" t="s">
        <v>183</v>
      </c>
      <c r="L25" t="s">
        <v>219</v>
      </c>
      <c r="M25">
        <v>365</v>
      </c>
    </row>
    <row r="26" spans="1:13" x14ac:dyDescent="0.4">
      <c r="A26" t="s">
        <v>33</v>
      </c>
      <c r="B26">
        <v>1.9503500000000001E-4</v>
      </c>
      <c r="C26">
        <v>2.4545082999999999E-2</v>
      </c>
      <c r="D26">
        <v>4431930.4409999996</v>
      </c>
      <c r="E26">
        <v>125.8493831</v>
      </c>
      <c r="F26">
        <v>195.43503140000001</v>
      </c>
      <c r="G26">
        <v>142.2033582</v>
      </c>
      <c r="H26">
        <v>27629.4339</v>
      </c>
      <c r="I26">
        <v>4</v>
      </c>
      <c r="K26" t="s">
        <v>158</v>
      </c>
      <c r="L26" t="s">
        <v>156</v>
      </c>
    </row>
    <row r="27" spans="1:13" x14ac:dyDescent="0.4">
      <c r="A27" t="s">
        <v>34</v>
      </c>
      <c r="B27">
        <v>1.6822922000000001E-2</v>
      </c>
      <c r="C27">
        <v>4.3771997999999999E-2</v>
      </c>
      <c r="D27">
        <v>673392</v>
      </c>
      <c r="E27">
        <v>2.6019259309999998</v>
      </c>
      <c r="F27">
        <v>15.78105747</v>
      </c>
      <c r="G27">
        <v>-5.9527429669999998</v>
      </c>
      <c r="H27">
        <v>14121.60389</v>
      </c>
      <c r="I27">
        <v>5</v>
      </c>
      <c r="K27" t="s">
        <v>192</v>
      </c>
      <c r="L27" t="s">
        <v>193</v>
      </c>
      <c r="M27">
        <v>16</v>
      </c>
    </row>
    <row r="28" spans="1:13" x14ac:dyDescent="0.4">
      <c r="A28" t="s">
        <v>35</v>
      </c>
      <c r="B28" s="1">
        <v>1.8499999999999999E-5</v>
      </c>
      <c r="C28">
        <v>9.2152648000000004E-2</v>
      </c>
      <c r="D28">
        <v>45423178.799999997</v>
      </c>
      <c r="E28">
        <v>4976.108964</v>
      </c>
      <c r="F28">
        <v>92.354299359999999</v>
      </c>
      <c r="G28">
        <v>78.066122890000003</v>
      </c>
      <c r="H28">
        <v>1046887.188</v>
      </c>
      <c r="I28">
        <v>4</v>
      </c>
      <c r="K28" t="s">
        <v>160</v>
      </c>
      <c r="L28" t="s">
        <v>161</v>
      </c>
      <c r="M28">
        <v>56</v>
      </c>
    </row>
    <row r="29" spans="1:13" x14ac:dyDescent="0.4">
      <c r="A29" s="7" t="s">
        <v>9</v>
      </c>
      <c r="B29">
        <v>3.074256E-3</v>
      </c>
      <c r="C29">
        <v>8.8705878000000002E-2</v>
      </c>
      <c r="D29">
        <v>540839.78249999997</v>
      </c>
      <c r="E29">
        <v>28.8544217</v>
      </c>
      <c r="F29">
        <v>36.633888859999999</v>
      </c>
      <c r="G29">
        <v>22.28483714</v>
      </c>
      <c r="H29">
        <v>12839.66274</v>
      </c>
      <c r="I29">
        <v>1</v>
      </c>
      <c r="K29" t="s">
        <v>119</v>
      </c>
      <c r="L29" t="s">
        <v>210</v>
      </c>
      <c r="M29">
        <v>38</v>
      </c>
    </row>
    <row r="30" spans="1:13" x14ac:dyDescent="0.4">
      <c r="A30" t="s">
        <v>37</v>
      </c>
      <c r="B30">
        <v>6.4300200000000005E-4</v>
      </c>
      <c r="C30">
        <v>0.15882160200000001</v>
      </c>
      <c r="D30">
        <v>11672</v>
      </c>
      <c r="E30">
        <v>247.00022820000001</v>
      </c>
      <c r="F30">
        <v>34.54929267</v>
      </c>
      <c r="G30">
        <v>26.29067058</v>
      </c>
      <c r="H30">
        <v>467.20158900000001</v>
      </c>
      <c r="I30">
        <v>3</v>
      </c>
      <c r="K30" t="s">
        <v>119</v>
      </c>
      <c r="L30" t="s">
        <v>253</v>
      </c>
      <c r="M30">
        <v>336</v>
      </c>
    </row>
    <row r="31" spans="1:13" x14ac:dyDescent="0.4">
      <c r="A31" s="7" t="s">
        <v>62</v>
      </c>
      <c r="B31">
        <v>3.629274E-3</v>
      </c>
      <c r="C31">
        <v>4.9317425999999998E-2</v>
      </c>
      <c r="D31">
        <v>65175</v>
      </c>
      <c r="E31">
        <v>13.58878531</v>
      </c>
      <c r="F31">
        <v>49.280593940000003</v>
      </c>
      <c r="G31">
        <v>24.407317849999998</v>
      </c>
      <c r="H31">
        <v>926.18649660000005</v>
      </c>
      <c r="I31">
        <v>1</v>
      </c>
      <c r="K31" t="s">
        <v>248</v>
      </c>
      <c r="L31" t="s">
        <v>249</v>
      </c>
      <c r="M31">
        <v>16</v>
      </c>
    </row>
    <row r="32" spans="1:13" x14ac:dyDescent="0.4">
      <c r="A32" t="s">
        <v>16</v>
      </c>
      <c r="B32">
        <v>5.6170359999999997E-3</v>
      </c>
      <c r="C32">
        <v>2.5032044999999999E-2</v>
      </c>
      <c r="D32">
        <v>1073221.983</v>
      </c>
      <c r="E32">
        <v>4.4564511009999999</v>
      </c>
      <c r="F32">
        <v>48.75685326</v>
      </c>
      <c r="G32">
        <v>5.7879333019999999</v>
      </c>
      <c r="H32">
        <v>10068.57811</v>
      </c>
      <c r="I32">
        <v>2</v>
      </c>
      <c r="K32" t="s">
        <v>119</v>
      </c>
      <c r="L32" t="s">
        <v>214</v>
      </c>
      <c r="M32">
        <v>14</v>
      </c>
    </row>
    <row r="33" spans="1:13" x14ac:dyDescent="0.4">
      <c r="A33" t="s">
        <v>40</v>
      </c>
      <c r="B33">
        <v>1.7653533999999999E-2</v>
      </c>
      <c r="C33">
        <v>3.5863224999999999E-2</v>
      </c>
      <c r="D33">
        <v>624697.31660000002</v>
      </c>
      <c r="E33">
        <v>2.0315039779999999</v>
      </c>
      <c r="F33">
        <v>13.244007999999999</v>
      </c>
      <c r="G33">
        <v>-11.36431849</v>
      </c>
      <c r="H33">
        <v>12472.10979</v>
      </c>
      <c r="I33">
        <v>5</v>
      </c>
      <c r="K33" t="s">
        <v>143</v>
      </c>
      <c r="L33" t="s">
        <v>194</v>
      </c>
      <c r="M33">
        <v>110</v>
      </c>
    </row>
    <row r="34" spans="1:13" x14ac:dyDescent="0.4">
      <c r="A34" t="s">
        <v>41</v>
      </c>
      <c r="B34">
        <v>2.4061642000000001E-2</v>
      </c>
      <c r="C34">
        <v>2.2281873000000001E-2</v>
      </c>
      <c r="D34">
        <v>9259</v>
      </c>
      <c r="E34">
        <v>0.92603294899999999</v>
      </c>
      <c r="F34">
        <v>-1.658170806</v>
      </c>
      <c r="G34">
        <v>-30.07547804</v>
      </c>
      <c r="H34">
        <v>223.115804</v>
      </c>
      <c r="I34">
        <v>5</v>
      </c>
      <c r="K34" t="s">
        <v>196</v>
      </c>
      <c r="L34" t="s">
        <v>197</v>
      </c>
      <c r="M34">
        <v>7</v>
      </c>
    </row>
    <row r="35" spans="1:13" x14ac:dyDescent="0.4">
      <c r="A35" s="7" t="s">
        <v>107</v>
      </c>
      <c r="B35">
        <v>2.309555E-3</v>
      </c>
      <c r="C35">
        <v>0.107496681</v>
      </c>
      <c r="D35">
        <v>2718097</v>
      </c>
      <c r="E35">
        <v>46.544326069999997</v>
      </c>
      <c r="F35">
        <v>34.974380760000003</v>
      </c>
      <c r="G35">
        <v>22.98090985</v>
      </c>
      <c r="H35">
        <v>76219.117159999994</v>
      </c>
      <c r="I35">
        <v>1</v>
      </c>
      <c r="K35" t="s">
        <v>271</v>
      </c>
      <c r="L35" t="s">
        <v>272</v>
      </c>
      <c r="M35">
        <v>16</v>
      </c>
    </row>
    <row r="36" spans="1:13" x14ac:dyDescent="0.4">
      <c r="A36" t="s">
        <v>82</v>
      </c>
      <c r="B36">
        <v>9.9640409999999999E-3</v>
      </c>
      <c r="C36">
        <v>6.2945701000000007E-2</v>
      </c>
      <c r="D36">
        <v>69346</v>
      </c>
      <c r="E36">
        <v>6.3172864300000002</v>
      </c>
      <c r="F36">
        <v>25.281803270000001</v>
      </c>
      <c r="G36">
        <v>7.218951025</v>
      </c>
      <c r="H36">
        <v>1464.085611</v>
      </c>
      <c r="I36">
        <v>2</v>
      </c>
      <c r="K36" t="s">
        <v>260</v>
      </c>
      <c r="L36" t="s">
        <v>261</v>
      </c>
      <c r="M36">
        <v>199</v>
      </c>
    </row>
    <row r="37" spans="1:13" x14ac:dyDescent="0.4">
      <c r="A37" t="s">
        <v>44</v>
      </c>
      <c r="B37">
        <v>1.1099059999999999E-3</v>
      </c>
      <c r="C37">
        <v>0.16953658199999999</v>
      </c>
      <c r="D37">
        <v>13906.065839999999</v>
      </c>
      <c r="E37">
        <v>152.7486452</v>
      </c>
      <c r="F37">
        <v>29.46907259</v>
      </c>
      <c r="G37">
        <v>21.75160992</v>
      </c>
      <c r="H37">
        <v>597.13918899999999</v>
      </c>
      <c r="I37">
        <v>3</v>
      </c>
      <c r="K37" t="s">
        <v>128</v>
      </c>
      <c r="L37" t="s">
        <v>113</v>
      </c>
      <c r="M37">
        <v>28</v>
      </c>
    </row>
    <row r="38" spans="1:13" x14ac:dyDescent="0.4">
      <c r="A38" t="s">
        <v>45</v>
      </c>
      <c r="B38" s="1">
        <v>1.59E-6</v>
      </c>
      <c r="C38">
        <v>0.11008660000000001</v>
      </c>
      <c r="D38">
        <v>14757656.08</v>
      </c>
      <c r="E38">
        <v>69190.839980000004</v>
      </c>
      <c r="F38">
        <v>101.233599</v>
      </c>
      <c r="G38">
        <v>89.270845410000007</v>
      </c>
      <c r="H38">
        <v>406166.78490000003</v>
      </c>
      <c r="I38">
        <v>4</v>
      </c>
      <c r="K38" t="s">
        <v>162</v>
      </c>
      <c r="L38" t="s">
        <v>163</v>
      </c>
      <c r="M38">
        <v>8</v>
      </c>
    </row>
    <row r="39" spans="1:13" x14ac:dyDescent="0.4">
      <c r="A39" s="7" t="s">
        <v>77</v>
      </c>
      <c r="B39">
        <v>3.631493E-3</v>
      </c>
      <c r="C39">
        <v>8.9157195999999994E-2</v>
      </c>
      <c r="D39">
        <v>57180.867100000003</v>
      </c>
      <c r="E39">
        <v>24.551112700000001</v>
      </c>
      <c r="F39">
        <v>34.495122279999997</v>
      </c>
      <c r="G39">
        <v>20.302035709999998</v>
      </c>
      <c r="H39">
        <v>1380.461892</v>
      </c>
      <c r="I39">
        <v>1</v>
      </c>
      <c r="K39" t="s">
        <v>256</v>
      </c>
      <c r="L39" t="s">
        <v>257</v>
      </c>
      <c r="M39">
        <v>81</v>
      </c>
    </row>
    <row r="40" spans="1:13" x14ac:dyDescent="0.4">
      <c r="A40" t="s">
        <v>47</v>
      </c>
      <c r="B40">
        <v>1.514184E-3</v>
      </c>
      <c r="C40">
        <v>0.207624109</v>
      </c>
      <c r="D40">
        <v>2085118</v>
      </c>
      <c r="E40">
        <v>137.11943410000001</v>
      </c>
      <c r="F40">
        <v>23.529178900000002</v>
      </c>
      <c r="G40">
        <v>17.232111660000001</v>
      </c>
      <c r="H40">
        <v>109814.57490000001</v>
      </c>
      <c r="I40">
        <v>3</v>
      </c>
      <c r="K40" t="s">
        <v>125</v>
      </c>
      <c r="L40" t="s">
        <v>114</v>
      </c>
      <c r="M40">
        <v>191</v>
      </c>
    </row>
    <row r="41" spans="1:13" x14ac:dyDescent="0.4">
      <c r="A41" t="s">
        <v>48</v>
      </c>
      <c r="B41">
        <v>3.4309299999999999E-4</v>
      </c>
      <c r="C41">
        <v>0.120082728</v>
      </c>
      <c r="D41">
        <v>6310839.3300000001</v>
      </c>
      <c r="E41">
        <v>350.00004769999998</v>
      </c>
      <c r="F41">
        <v>48.643498630000003</v>
      </c>
      <c r="G41">
        <v>37.70765548</v>
      </c>
      <c r="H41">
        <v>190539.85140000001</v>
      </c>
      <c r="I41">
        <v>3</v>
      </c>
      <c r="K41" t="s">
        <v>123</v>
      </c>
      <c r="L41" t="s">
        <v>115</v>
      </c>
      <c r="M41">
        <v>433</v>
      </c>
    </row>
    <row r="42" spans="1:13" x14ac:dyDescent="0.4">
      <c r="A42" s="7" t="s">
        <v>74</v>
      </c>
      <c r="B42">
        <v>2.7194770000000001E-3</v>
      </c>
      <c r="C42">
        <v>0.17910315199999999</v>
      </c>
      <c r="D42">
        <v>638903</v>
      </c>
      <c r="E42">
        <v>65.859405330000001</v>
      </c>
      <c r="F42">
        <v>23.030808969999999</v>
      </c>
      <c r="G42">
        <v>15.78771772</v>
      </c>
      <c r="H42">
        <v>29482.721829999999</v>
      </c>
      <c r="I42">
        <v>1</v>
      </c>
      <c r="K42" t="s">
        <v>250</v>
      </c>
      <c r="L42" t="s">
        <v>254</v>
      </c>
      <c r="M42">
        <v>46</v>
      </c>
    </row>
    <row r="43" spans="1:13" x14ac:dyDescent="0.4">
      <c r="A43" s="7" t="s">
        <v>92</v>
      </c>
      <c r="B43">
        <v>2.7080199999999998E-3</v>
      </c>
      <c r="C43">
        <v>0.13597539</v>
      </c>
      <c r="D43">
        <v>705786.75009999995</v>
      </c>
      <c r="E43">
        <v>50.212105729999998</v>
      </c>
      <c r="F43">
        <v>28.23882206</v>
      </c>
      <c r="G43">
        <v>18.742676169999999</v>
      </c>
      <c r="H43">
        <v>24957.565600000002</v>
      </c>
      <c r="I43">
        <v>1</v>
      </c>
      <c r="K43" t="s">
        <v>141</v>
      </c>
      <c r="L43" t="s">
        <v>265</v>
      </c>
      <c r="M43">
        <v>327</v>
      </c>
    </row>
    <row r="44" spans="1:13" x14ac:dyDescent="0.4">
      <c r="A44" s="7" t="s">
        <v>95</v>
      </c>
      <c r="B44">
        <v>3.6331520000000002E-3</v>
      </c>
      <c r="C44">
        <v>0.15015338</v>
      </c>
      <c r="D44">
        <v>249583</v>
      </c>
      <c r="E44">
        <v>41.328684090000003</v>
      </c>
      <c r="F44">
        <v>24.19949751</v>
      </c>
      <c r="G44">
        <v>15.63595243</v>
      </c>
      <c r="H44">
        <v>9827.8043359999992</v>
      </c>
      <c r="I44">
        <v>1</v>
      </c>
      <c r="K44" t="s">
        <v>141</v>
      </c>
      <c r="L44" t="s">
        <v>268</v>
      </c>
      <c r="M44">
        <v>80</v>
      </c>
    </row>
    <row r="45" spans="1:13" x14ac:dyDescent="0.4">
      <c r="A45" s="7" t="s">
        <v>46</v>
      </c>
      <c r="B45">
        <v>2.7685040000000002E-3</v>
      </c>
      <c r="C45">
        <v>3.2730705999999998E-2</v>
      </c>
      <c r="D45">
        <v>9259858.2320000008</v>
      </c>
      <c r="E45">
        <v>11.82252474</v>
      </c>
      <c r="F45">
        <v>69.579198329999997</v>
      </c>
      <c r="G45">
        <v>32.480967440000001</v>
      </c>
      <c r="H45">
        <v>89130.501789999995</v>
      </c>
      <c r="I45">
        <v>1</v>
      </c>
      <c r="K45" t="s">
        <v>233</v>
      </c>
      <c r="L45" t="s">
        <v>234</v>
      </c>
      <c r="M45">
        <v>228</v>
      </c>
    </row>
    <row r="46" spans="1:13" x14ac:dyDescent="0.4">
      <c r="A46" t="s">
        <v>50</v>
      </c>
      <c r="B46">
        <v>5.923284E-3</v>
      </c>
      <c r="C46">
        <v>3.5663210000000001E-2</v>
      </c>
      <c r="D46">
        <v>314667.97639999999</v>
      </c>
      <c r="E46">
        <v>6.0208511710000003</v>
      </c>
      <c r="F46">
        <v>43.168549730000002</v>
      </c>
      <c r="G46">
        <v>11.50062666</v>
      </c>
      <c r="H46">
        <v>3814.8436240000001</v>
      </c>
      <c r="I46">
        <v>2</v>
      </c>
      <c r="K46" t="s">
        <v>158</v>
      </c>
      <c r="L46" t="s">
        <v>237</v>
      </c>
      <c r="M46">
        <v>178</v>
      </c>
    </row>
    <row r="47" spans="1:13" x14ac:dyDescent="0.4">
      <c r="A47" t="s">
        <v>54</v>
      </c>
      <c r="B47" s="1">
        <v>5.04E-6</v>
      </c>
      <c r="C47">
        <v>0.125878662</v>
      </c>
      <c r="D47">
        <v>26851111.199999999</v>
      </c>
      <c r="E47">
        <v>24986.769560000001</v>
      </c>
      <c r="F47">
        <v>80.440134560000004</v>
      </c>
      <c r="G47">
        <v>69.978431420000007</v>
      </c>
      <c r="H47">
        <v>845063.12390000001</v>
      </c>
      <c r="I47">
        <v>4</v>
      </c>
      <c r="K47" t="s">
        <v>131</v>
      </c>
      <c r="L47" t="s">
        <v>164</v>
      </c>
      <c r="M47">
        <v>73</v>
      </c>
    </row>
    <row r="48" spans="1:13" x14ac:dyDescent="0.4">
      <c r="A48" t="s">
        <v>61</v>
      </c>
      <c r="B48">
        <v>1.0555133E-2</v>
      </c>
      <c r="C48">
        <v>7.2897112999999999E-2</v>
      </c>
      <c r="D48">
        <v>175237</v>
      </c>
      <c r="E48">
        <v>6.9063188770000004</v>
      </c>
      <c r="F48">
        <v>23.156198459999999</v>
      </c>
      <c r="G48">
        <v>7.3752224039999996</v>
      </c>
      <c r="H48">
        <v>4185.3477469999998</v>
      </c>
      <c r="I48">
        <v>2</v>
      </c>
      <c r="K48" t="s">
        <v>246</v>
      </c>
      <c r="L48" t="s">
        <v>247</v>
      </c>
    </row>
    <row r="49" spans="1:13" x14ac:dyDescent="0.4">
      <c r="A49" s="7" t="s">
        <v>22</v>
      </c>
      <c r="B49">
        <v>1.7065159999999999E-3</v>
      </c>
      <c r="C49">
        <v>5.6762326000000002E-2</v>
      </c>
      <c r="D49">
        <v>2021528.2490000001</v>
      </c>
      <c r="E49">
        <v>33.262108130000001</v>
      </c>
      <c r="F49">
        <v>59.936518939999999</v>
      </c>
      <c r="G49">
        <v>37.412421449999997</v>
      </c>
      <c r="H49">
        <v>30437.475289999998</v>
      </c>
      <c r="I49">
        <v>1</v>
      </c>
      <c r="K49" t="s">
        <v>177</v>
      </c>
      <c r="L49" t="s">
        <v>217</v>
      </c>
      <c r="M49">
        <v>16</v>
      </c>
    </row>
    <row r="50" spans="1:13" x14ac:dyDescent="0.4">
      <c r="A50" t="s">
        <v>57</v>
      </c>
      <c r="B50">
        <v>1.2775800000000001E-4</v>
      </c>
      <c r="C50">
        <v>2.9159177000000001E-2</v>
      </c>
      <c r="D50">
        <v>2887897.6639999999</v>
      </c>
      <c r="E50">
        <v>228.2373542</v>
      </c>
      <c r="F50">
        <v>185.42008870000001</v>
      </c>
      <c r="G50">
        <v>140.4526693</v>
      </c>
      <c r="H50">
        <v>21237.060140000001</v>
      </c>
      <c r="I50">
        <v>4</v>
      </c>
      <c r="K50" t="s">
        <v>143</v>
      </c>
      <c r="L50" t="s">
        <v>165</v>
      </c>
      <c r="M50">
        <v>18</v>
      </c>
    </row>
    <row r="51" spans="1:13" x14ac:dyDescent="0.4">
      <c r="A51" s="7" t="s">
        <v>102</v>
      </c>
      <c r="B51">
        <v>4.8706410000000002E-3</v>
      </c>
      <c r="C51">
        <v>0.101613327</v>
      </c>
      <c r="D51">
        <v>234761</v>
      </c>
      <c r="E51">
        <v>20.86241412</v>
      </c>
      <c r="F51">
        <v>28.529638980000001</v>
      </c>
      <c r="G51">
        <v>16.161975389999998</v>
      </c>
      <c r="H51">
        <v>6549.1319640000002</v>
      </c>
      <c r="I51">
        <v>1</v>
      </c>
      <c r="K51" t="s">
        <v>207</v>
      </c>
      <c r="L51" t="s">
        <v>269</v>
      </c>
      <c r="M51">
        <v>51</v>
      </c>
    </row>
    <row r="52" spans="1:13" x14ac:dyDescent="0.4">
      <c r="A52" t="s">
        <v>32</v>
      </c>
      <c r="B52">
        <v>1.0790826E-2</v>
      </c>
      <c r="C52">
        <v>7.3459100999999999E-2</v>
      </c>
      <c r="D52">
        <v>156695</v>
      </c>
      <c r="E52">
        <v>6.8075512739999997</v>
      </c>
      <c r="F52">
        <v>22.76598396</v>
      </c>
      <c r="G52">
        <v>7.134422603</v>
      </c>
      <c r="H52">
        <v>3785.1980039999999</v>
      </c>
      <c r="I52">
        <v>2</v>
      </c>
      <c r="K52" t="s">
        <v>224</v>
      </c>
      <c r="L52" t="s">
        <v>225</v>
      </c>
      <c r="M52">
        <v>42</v>
      </c>
    </row>
    <row r="53" spans="1:13" x14ac:dyDescent="0.4">
      <c r="A53" t="s">
        <v>60</v>
      </c>
      <c r="B53">
        <v>8.0162400000000002E-4</v>
      </c>
      <c r="C53">
        <v>5.5368265999999999E-2</v>
      </c>
      <c r="D53">
        <v>1815815.5930000001</v>
      </c>
      <c r="E53">
        <v>69.070120160000002</v>
      </c>
      <c r="F53">
        <v>75.398442520000003</v>
      </c>
      <c r="G53">
        <v>51.952466450000003</v>
      </c>
      <c r="H53">
        <v>25867.709429999999</v>
      </c>
      <c r="I53">
        <v>3</v>
      </c>
      <c r="K53" t="s">
        <v>119</v>
      </c>
      <c r="L53" t="s">
        <v>116</v>
      </c>
      <c r="M53">
        <v>35</v>
      </c>
    </row>
    <row r="54" spans="1:13" x14ac:dyDescent="0.4">
      <c r="A54" s="7" t="s">
        <v>21</v>
      </c>
      <c r="B54">
        <v>4.2929020000000003E-3</v>
      </c>
      <c r="C54">
        <v>0.11589572400000001</v>
      </c>
      <c r="D54">
        <v>8358501.2719999999</v>
      </c>
      <c r="E54">
        <v>26.997057470000001</v>
      </c>
      <c r="F54">
        <v>27.42129598</v>
      </c>
      <c r="G54">
        <v>16.4638706</v>
      </c>
      <c r="H54">
        <v>260452.03099999999</v>
      </c>
      <c r="I54">
        <v>1</v>
      </c>
      <c r="K54" t="s">
        <v>215</v>
      </c>
      <c r="L54" t="s">
        <v>216</v>
      </c>
    </row>
    <row r="55" spans="1:13" x14ac:dyDescent="0.4">
      <c r="A55" t="s">
        <v>73</v>
      </c>
      <c r="B55">
        <v>5.0447779999999998E-3</v>
      </c>
      <c r="C55">
        <v>3.1111489999999999E-2</v>
      </c>
      <c r="D55">
        <v>36680337.32</v>
      </c>
      <c r="E55">
        <v>6.1670678299999997</v>
      </c>
      <c r="F55">
        <v>50.315576139999997</v>
      </c>
      <c r="G55">
        <v>13.89152185</v>
      </c>
      <c r="H55">
        <v>385318.37959999999</v>
      </c>
      <c r="I55">
        <v>2</v>
      </c>
      <c r="K55" t="s">
        <v>252</v>
      </c>
      <c r="L55" t="s">
        <v>253</v>
      </c>
      <c r="M55">
        <v>1554</v>
      </c>
    </row>
    <row r="56" spans="1:13" x14ac:dyDescent="0.4">
      <c r="A56" t="s">
        <v>63</v>
      </c>
      <c r="B56" s="1">
        <v>3.23E-6</v>
      </c>
      <c r="C56">
        <v>9.1209359000000004E-2</v>
      </c>
      <c r="D56">
        <v>15264980.34</v>
      </c>
      <c r="E56">
        <v>28268.605729999999</v>
      </c>
      <c r="F56">
        <v>112.36943960000001</v>
      </c>
      <c r="G56">
        <v>97.931104300000001</v>
      </c>
      <c r="H56">
        <v>348101.89510000002</v>
      </c>
      <c r="I56">
        <v>4</v>
      </c>
      <c r="K56" t="s">
        <v>166</v>
      </c>
      <c r="L56" t="s">
        <v>167</v>
      </c>
      <c r="M56">
        <v>73</v>
      </c>
    </row>
    <row r="57" spans="1:13" x14ac:dyDescent="0.4">
      <c r="A57" t="s">
        <v>64</v>
      </c>
      <c r="B57">
        <v>1.06532E-4</v>
      </c>
      <c r="C57">
        <v>0.18351988999999999</v>
      </c>
      <c r="D57">
        <v>3494509</v>
      </c>
      <c r="E57">
        <v>1722.6738439999999</v>
      </c>
      <c r="F57">
        <v>40.580396010000001</v>
      </c>
      <c r="G57">
        <v>33.408454839999997</v>
      </c>
      <c r="H57">
        <v>160514.16940000001</v>
      </c>
      <c r="I57">
        <v>4</v>
      </c>
      <c r="K57" t="s">
        <v>168</v>
      </c>
      <c r="L57" t="s">
        <v>169</v>
      </c>
      <c r="M57">
        <v>274</v>
      </c>
    </row>
    <row r="58" spans="1:13" x14ac:dyDescent="0.4">
      <c r="A58" t="s">
        <v>65</v>
      </c>
      <c r="B58" s="1">
        <v>9.2800000000000006E-5</v>
      </c>
      <c r="C58">
        <v>0.15017212999999999</v>
      </c>
      <c r="D58">
        <v>73052</v>
      </c>
      <c r="E58">
        <v>1617.771338</v>
      </c>
      <c r="F58">
        <v>49.171842429999998</v>
      </c>
      <c r="G58">
        <v>40.407604059999997</v>
      </c>
      <c r="H58">
        <v>2745.98524</v>
      </c>
      <c r="I58">
        <v>4</v>
      </c>
      <c r="K58" t="s">
        <v>128</v>
      </c>
      <c r="L58" t="s">
        <v>170</v>
      </c>
      <c r="M58">
        <v>20</v>
      </c>
    </row>
    <row r="59" spans="1:13" x14ac:dyDescent="0.4">
      <c r="A59" t="s">
        <v>66</v>
      </c>
      <c r="B59">
        <v>1.4982038E-2</v>
      </c>
      <c r="C59">
        <v>3.6910024999999999E-2</v>
      </c>
      <c r="D59">
        <v>403636</v>
      </c>
      <c r="E59">
        <v>2.463618383</v>
      </c>
      <c r="F59">
        <v>17.37512641</v>
      </c>
      <c r="G59">
        <v>-8.0036659790000009</v>
      </c>
      <c r="H59">
        <v>7361.8580659999998</v>
      </c>
      <c r="I59">
        <v>5</v>
      </c>
      <c r="K59" t="s">
        <v>199</v>
      </c>
      <c r="L59" t="s">
        <v>200</v>
      </c>
      <c r="M59">
        <v>8</v>
      </c>
    </row>
    <row r="60" spans="1:13" x14ac:dyDescent="0.4">
      <c r="A60" t="s">
        <v>67</v>
      </c>
      <c r="B60">
        <v>1.8696000000000001E-4</v>
      </c>
      <c r="C60">
        <v>8.9713935999999994E-2</v>
      </c>
      <c r="D60">
        <v>145202.56270000001</v>
      </c>
      <c r="E60">
        <v>479.8563115</v>
      </c>
      <c r="F60">
        <v>68.669913010000002</v>
      </c>
      <c r="G60">
        <v>54.020916669999998</v>
      </c>
      <c r="H60">
        <v>3270.2610330000002</v>
      </c>
      <c r="I60">
        <v>4</v>
      </c>
      <c r="K60" t="s">
        <v>172</v>
      </c>
      <c r="L60" t="s">
        <v>171</v>
      </c>
      <c r="M60">
        <v>55</v>
      </c>
    </row>
    <row r="61" spans="1:13" x14ac:dyDescent="0.4">
      <c r="A61" t="s">
        <v>68</v>
      </c>
      <c r="B61">
        <v>1.03414E-4</v>
      </c>
      <c r="C61">
        <v>6.2273792000000001E-2</v>
      </c>
      <c r="D61">
        <v>46195207.25</v>
      </c>
      <c r="E61">
        <v>602.17669850000004</v>
      </c>
      <c r="F61">
        <v>102.6104137</v>
      </c>
      <c r="G61">
        <v>81.497606970000007</v>
      </c>
      <c r="H61">
        <v>721578.28729999997</v>
      </c>
      <c r="I61">
        <v>4</v>
      </c>
      <c r="K61" t="s">
        <v>173</v>
      </c>
      <c r="L61" t="s">
        <v>174</v>
      </c>
      <c r="M61">
        <v>727</v>
      </c>
    </row>
    <row r="62" spans="1:13" x14ac:dyDescent="0.4">
      <c r="A62" s="7" t="s">
        <v>49</v>
      </c>
      <c r="B62">
        <v>5.2038930000000002E-3</v>
      </c>
      <c r="C62">
        <v>9.3953243000000006E-2</v>
      </c>
      <c r="D62">
        <v>78072</v>
      </c>
      <c r="E62">
        <v>18.054416440000001</v>
      </c>
      <c r="F62">
        <v>29.179849820000001</v>
      </c>
      <c r="G62">
        <v>15.89832565</v>
      </c>
      <c r="H62">
        <v>2042.5442989999999</v>
      </c>
      <c r="I62">
        <v>1</v>
      </c>
      <c r="K62" t="s">
        <v>235</v>
      </c>
      <c r="L62" t="s">
        <v>236</v>
      </c>
      <c r="M62">
        <v>37</v>
      </c>
    </row>
    <row r="63" spans="1:13" x14ac:dyDescent="0.4">
      <c r="A63" t="s">
        <v>70</v>
      </c>
      <c r="B63">
        <v>1.1104190000000001E-3</v>
      </c>
      <c r="C63">
        <v>0.123657724</v>
      </c>
      <c r="D63">
        <v>655223</v>
      </c>
      <c r="E63">
        <v>111.3613186</v>
      </c>
      <c r="F63">
        <v>37.77230248</v>
      </c>
      <c r="G63">
        <v>27.217060849999999</v>
      </c>
      <c r="H63">
        <v>20621.265619999998</v>
      </c>
      <c r="I63">
        <v>3</v>
      </c>
      <c r="K63" t="s">
        <v>121</v>
      </c>
      <c r="L63" t="s">
        <v>117</v>
      </c>
      <c r="M63">
        <v>308</v>
      </c>
    </row>
    <row r="64" spans="1:13" x14ac:dyDescent="0.4">
      <c r="A64" t="s">
        <v>71</v>
      </c>
      <c r="B64">
        <v>5.0826099999999998E-4</v>
      </c>
      <c r="C64">
        <v>0.13940535300000001</v>
      </c>
      <c r="D64">
        <v>103638.2101</v>
      </c>
      <c r="E64">
        <v>274.27916119999998</v>
      </c>
      <c r="F64">
        <v>40.125805309999997</v>
      </c>
      <c r="G64">
        <v>30.713155159999999</v>
      </c>
      <c r="H64">
        <v>3638.3159460000002</v>
      </c>
      <c r="I64">
        <v>3</v>
      </c>
      <c r="K64" t="s">
        <v>137</v>
      </c>
      <c r="L64" t="s">
        <v>138</v>
      </c>
      <c r="M64">
        <v>28</v>
      </c>
    </row>
    <row r="65" spans="1:13" x14ac:dyDescent="0.4">
      <c r="A65" t="s">
        <v>72</v>
      </c>
      <c r="B65">
        <v>5.2099999999999999E-5</v>
      </c>
      <c r="C65">
        <v>4.1449344999999999E-2</v>
      </c>
      <c r="D65">
        <v>235664065.69999999</v>
      </c>
      <c r="E65">
        <v>795.57284070000003</v>
      </c>
      <c r="F65">
        <v>160.9356592</v>
      </c>
      <c r="G65">
        <v>129.20283889999999</v>
      </c>
      <c r="H65">
        <v>2448173.1979999999</v>
      </c>
      <c r="I65">
        <v>4</v>
      </c>
      <c r="K65" t="s">
        <v>175</v>
      </c>
      <c r="L65" t="s">
        <v>176</v>
      </c>
      <c r="M65">
        <v>232</v>
      </c>
    </row>
    <row r="66" spans="1:13" x14ac:dyDescent="0.4">
      <c r="A66" t="s">
        <v>12</v>
      </c>
      <c r="B66">
        <v>7.8546099999999997E-3</v>
      </c>
      <c r="C66">
        <v>7.2714182000000002E-2</v>
      </c>
      <c r="D66">
        <v>76926</v>
      </c>
      <c r="E66">
        <v>9.2575163370000002</v>
      </c>
      <c r="F66">
        <v>27.621560720000002</v>
      </c>
      <c r="G66">
        <v>11.27580384</v>
      </c>
      <c r="H66">
        <v>1716.8317850000001</v>
      </c>
      <c r="I66">
        <v>2</v>
      </c>
      <c r="K66" t="s">
        <v>143</v>
      </c>
      <c r="L66" t="s">
        <v>213</v>
      </c>
    </row>
    <row r="67" spans="1:13" x14ac:dyDescent="0.4">
      <c r="A67" s="7" t="s">
        <v>59</v>
      </c>
      <c r="B67">
        <v>2.3748829999999999E-3</v>
      </c>
      <c r="C67">
        <v>0.13912838499999999</v>
      </c>
      <c r="D67">
        <v>52645.160909999999</v>
      </c>
      <c r="E67">
        <v>58.583260549999999</v>
      </c>
      <c r="F67">
        <v>28.765759760000002</v>
      </c>
      <c r="G67">
        <v>19.458851729999999</v>
      </c>
      <c r="H67">
        <v>1894.155636</v>
      </c>
      <c r="I67">
        <v>1</v>
      </c>
      <c r="K67" t="s">
        <v>143</v>
      </c>
      <c r="L67" t="s">
        <v>245</v>
      </c>
      <c r="M67">
        <v>18</v>
      </c>
    </row>
    <row r="68" spans="1:13" x14ac:dyDescent="0.4">
      <c r="A68" t="s">
        <v>75</v>
      </c>
      <c r="B68">
        <v>7.9783100000000004E-4</v>
      </c>
      <c r="C68">
        <v>0.12595240499999999</v>
      </c>
      <c r="D68">
        <v>89481.230660000001</v>
      </c>
      <c r="E68">
        <v>157.86857269999999</v>
      </c>
      <c r="F68">
        <v>39.93493849</v>
      </c>
      <c r="G68">
        <v>29.544757440000001</v>
      </c>
      <c r="H68">
        <v>2853.4025449999999</v>
      </c>
      <c r="I68">
        <v>3</v>
      </c>
      <c r="K68" t="s">
        <v>132</v>
      </c>
      <c r="L68" t="s">
        <v>133</v>
      </c>
      <c r="M68">
        <v>352</v>
      </c>
    </row>
    <row r="69" spans="1:13" x14ac:dyDescent="0.4">
      <c r="A69" t="s">
        <v>10</v>
      </c>
      <c r="B69">
        <v>3.8723899999999999E-3</v>
      </c>
      <c r="C69">
        <v>2.6508809000000001E-2</v>
      </c>
      <c r="D69">
        <v>1089443.865</v>
      </c>
      <c r="E69">
        <v>6.8455932490000002</v>
      </c>
      <c r="F69">
        <v>63.315641720000002</v>
      </c>
      <c r="G69">
        <v>19.967849950000002</v>
      </c>
      <c r="H69">
        <v>9483.4088979999997</v>
      </c>
      <c r="I69">
        <v>2</v>
      </c>
      <c r="K69" t="s">
        <v>211</v>
      </c>
      <c r="L69" t="s">
        <v>212</v>
      </c>
      <c r="M69">
        <v>127</v>
      </c>
    </row>
    <row r="70" spans="1:13" x14ac:dyDescent="0.4">
      <c r="A70" t="s">
        <v>98</v>
      </c>
      <c r="B70">
        <v>7.6452239999999999E-3</v>
      </c>
      <c r="C70">
        <v>7.2701010999999996E-2</v>
      </c>
      <c r="D70">
        <v>104993</v>
      </c>
      <c r="E70">
        <v>9.5093366610000007</v>
      </c>
      <c r="F70">
        <v>28.032105340000001</v>
      </c>
      <c r="G70">
        <v>11.641070989999999</v>
      </c>
      <c r="H70">
        <v>2330.7246319999999</v>
      </c>
      <c r="I70">
        <v>2</v>
      </c>
      <c r="K70" t="s">
        <v>207</v>
      </c>
      <c r="L70" t="s">
        <v>212</v>
      </c>
      <c r="M70">
        <v>54</v>
      </c>
    </row>
    <row r="71" spans="1:13" x14ac:dyDescent="0.4">
      <c r="A71" t="s">
        <v>78</v>
      </c>
      <c r="B71">
        <v>2.666924E-2</v>
      </c>
      <c r="C71">
        <v>8.2021999999999998E-3</v>
      </c>
      <c r="D71">
        <v>320342</v>
      </c>
      <c r="E71">
        <v>0.307552826</v>
      </c>
      <c r="F71">
        <v>-33.813011119999999</v>
      </c>
      <c r="G71">
        <v>-71.579098999999999</v>
      </c>
      <c r="H71">
        <v>11873.07755</v>
      </c>
      <c r="I71">
        <v>5</v>
      </c>
      <c r="K71" t="s">
        <v>119</v>
      </c>
      <c r="L71" t="s">
        <v>201</v>
      </c>
      <c r="M71">
        <v>12</v>
      </c>
    </row>
    <row r="72" spans="1:13" x14ac:dyDescent="0.4">
      <c r="A72" t="s">
        <v>79</v>
      </c>
      <c r="B72">
        <v>1.729892E-3</v>
      </c>
      <c r="C72">
        <v>0.16666367500000001</v>
      </c>
      <c r="D72">
        <v>587167</v>
      </c>
      <c r="E72">
        <v>96.343410750000004</v>
      </c>
      <c r="F72">
        <v>27.126446040000001</v>
      </c>
      <c r="G72">
        <v>19.305732209999999</v>
      </c>
      <c r="H72">
        <v>24975.355920000002</v>
      </c>
      <c r="I72">
        <v>3</v>
      </c>
      <c r="K72" t="s">
        <v>135</v>
      </c>
      <c r="L72" t="s">
        <v>136</v>
      </c>
      <c r="M72">
        <v>93</v>
      </c>
    </row>
    <row r="73" spans="1:13" x14ac:dyDescent="0.4">
      <c r="A73" t="s">
        <v>8</v>
      </c>
      <c r="B73">
        <v>6.8957539999999996E-3</v>
      </c>
      <c r="C73">
        <v>6.7326790999999997E-2</v>
      </c>
      <c r="D73">
        <v>103259</v>
      </c>
      <c r="E73">
        <v>9.7635144310000008</v>
      </c>
      <c r="F73">
        <v>30.70027369</v>
      </c>
      <c r="G73">
        <v>12.95690594</v>
      </c>
      <c r="H73">
        <v>2112.2809649999999</v>
      </c>
      <c r="I73">
        <v>2</v>
      </c>
      <c r="K73" t="s">
        <v>141</v>
      </c>
      <c r="L73" t="s">
        <v>209</v>
      </c>
      <c r="M73">
        <v>33</v>
      </c>
    </row>
    <row r="74" spans="1:13" x14ac:dyDescent="0.4">
      <c r="A74" t="s">
        <v>38</v>
      </c>
      <c r="B74">
        <v>7.3342930000000004E-3</v>
      </c>
      <c r="C74">
        <v>0.10168957300000001</v>
      </c>
      <c r="D74">
        <v>347580</v>
      </c>
      <c r="E74">
        <v>13.864944960000001</v>
      </c>
      <c r="F74">
        <v>24.117322290000001</v>
      </c>
      <c r="G74">
        <v>12.037784589999999</v>
      </c>
      <c r="H74">
        <v>10156.90804</v>
      </c>
      <c r="I74">
        <v>2</v>
      </c>
      <c r="K74" t="s">
        <v>143</v>
      </c>
      <c r="L74" t="s">
        <v>228</v>
      </c>
      <c r="M74">
        <v>34</v>
      </c>
    </row>
    <row r="75" spans="1:13" x14ac:dyDescent="0.4">
      <c r="A75" t="s">
        <v>52</v>
      </c>
      <c r="B75">
        <v>1.2159816E-2</v>
      </c>
      <c r="C75">
        <v>6.6156241000000005E-2</v>
      </c>
      <c r="D75">
        <v>524765</v>
      </c>
      <c r="E75">
        <v>5.4405626250000001</v>
      </c>
      <c r="F75">
        <v>21.628801939999999</v>
      </c>
      <c r="G75">
        <v>4.8128646670000004</v>
      </c>
      <c r="H75">
        <v>12162.859109999999</v>
      </c>
      <c r="I75">
        <v>2</v>
      </c>
      <c r="K75" t="s">
        <v>141</v>
      </c>
      <c r="L75" t="s">
        <v>238</v>
      </c>
      <c r="M75">
        <v>80</v>
      </c>
    </row>
    <row r="76" spans="1:13" x14ac:dyDescent="0.4">
      <c r="A76" t="s">
        <v>83</v>
      </c>
      <c r="B76" s="1">
        <v>3.0000000000000001E-5</v>
      </c>
      <c r="C76">
        <v>7.1017029999999995E-2</v>
      </c>
      <c r="D76">
        <v>1787399.405</v>
      </c>
      <c r="E76">
        <v>2365.4716039999998</v>
      </c>
      <c r="F76">
        <v>109.3463051</v>
      </c>
      <c r="G76">
        <v>90.809886680000005</v>
      </c>
      <c r="H76">
        <v>31760.786029999999</v>
      </c>
      <c r="I76">
        <v>4</v>
      </c>
      <c r="K76" t="s">
        <v>119</v>
      </c>
      <c r="L76" t="s">
        <v>181</v>
      </c>
      <c r="M76">
        <v>111</v>
      </c>
    </row>
    <row r="77" spans="1:13" x14ac:dyDescent="0.4">
      <c r="A77" t="s">
        <v>84</v>
      </c>
      <c r="B77">
        <v>1.956724E-2</v>
      </c>
      <c r="C77">
        <v>1.5505863999999999E-2</v>
      </c>
      <c r="D77">
        <v>16395029.58</v>
      </c>
      <c r="E77">
        <v>0.79244002700000005</v>
      </c>
      <c r="F77">
        <v>-6.6329588619999997</v>
      </c>
      <c r="G77">
        <v>-44.181900159999998</v>
      </c>
      <c r="H77">
        <v>325165.63189999998</v>
      </c>
      <c r="I77">
        <v>5</v>
      </c>
      <c r="K77" t="s">
        <v>202</v>
      </c>
      <c r="L77" t="s">
        <v>203</v>
      </c>
      <c r="M77">
        <v>1050</v>
      </c>
    </row>
    <row r="78" spans="1:13" x14ac:dyDescent="0.4">
      <c r="A78" t="s">
        <v>76</v>
      </c>
      <c r="B78">
        <v>4.4461029999999999E-3</v>
      </c>
      <c r="C78">
        <v>2.4325408E-2</v>
      </c>
      <c r="D78">
        <v>271267.83639999997</v>
      </c>
      <c r="E78">
        <v>5.4711749190000001</v>
      </c>
      <c r="F78">
        <v>59.068617930000002</v>
      </c>
      <c r="G78">
        <v>13.29563437</v>
      </c>
      <c r="H78">
        <v>2307.8284399999998</v>
      </c>
      <c r="I78">
        <v>2</v>
      </c>
      <c r="K78" t="s">
        <v>215</v>
      </c>
      <c r="L78" t="s">
        <v>255</v>
      </c>
      <c r="M78">
        <v>146</v>
      </c>
    </row>
    <row r="79" spans="1:13" x14ac:dyDescent="0.4">
      <c r="A79" t="s">
        <v>86</v>
      </c>
      <c r="B79">
        <v>3.6644601999999998E-2</v>
      </c>
      <c r="C79">
        <v>1.3247943E-2</v>
      </c>
      <c r="D79">
        <v>39901</v>
      </c>
      <c r="E79">
        <v>0.36152509300000002</v>
      </c>
      <c r="F79">
        <v>-20.392301289999999</v>
      </c>
      <c r="G79">
        <v>-46.788186209999999</v>
      </c>
      <c r="H79">
        <v>1874.33259</v>
      </c>
      <c r="I79">
        <v>5</v>
      </c>
      <c r="K79" t="s">
        <v>187</v>
      </c>
      <c r="L79" t="s">
        <v>204</v>
      </c>
      <c r="M79">
        <v>10</v>
      </c>
    </row>
    <row r="80" spans="1:13" x14ac:dyDescent="0.4">
      <c r="A80" t="s">
        <v>87</v>
      </c>
      <c r="B80">
        <v>9.5473699999999999E-4</v>
      </c>
      <c r="C80">
        <v>0.11671715000000001</v>
      </c>
      <c r="D80">
        <v>2857750.7009999999</v>
      </c>
      <c r="E80">
        <v>122.25061890000001</v>
      </c>
      <c r="F80">
        <v>40.84300288</v>
      </c>
      <c r="G80">
        <v>29.651222600000001</v>
      </c>
      <c r="H80">
        <v>84756.908249999993</v>
      </c>
      <c r="I80">
        <v>3</v>
      </c>
      <c r="K80" t="s">
        <v>139</v>
      </c>
      <c r="L80" t="s">
        <v>140</v>
      </c>
      <c r="M80">
        <v>2672</v>
      </c>
    </row>
    <row r="81" spans="1:13" x14ac:dyDescent="0.4">
      <c r="A81" s="7" t="s">
        <v>36</v>
      </c>
      <c r="B81">
        <v>2.993711E-3</v>
      </c>
      <c r="C81">
        <v>0.113678364</v>
      </c>
      <c r="D81">
        <v>92073</v>
      </c>
      <c r="E81">
        <v>37.972385529999997</v>
      </c>
      <c r="F81">
        <v>31.17163382</v>
      </c>
      <c r="G81">
        <v>19.88394654</v>
      </c>
      <c r="H81">
        <v>2756.3117280000001</v>
      </c>
      <c r="I81">
        <v>1</v>
      </c>
      <c r="K81" t="s">
        <v>226</v>
      </c>
      <c r="L81" t="s">
        <v>227</v>
      </c>
      <c r="M81">
        <v>99</v>
      </c>
    </row>
    <row r="82" spans="1:13" x14ac:dyDescent="0.4">
      <c r="A82" t="s">
        <v>39</v>
      </c>
      <c r="B82">
        <v>6.2130060000000001E-3</v>
      </c>
      <c r="C82">
        <v>7.4598210999999998E-2</v>
      </c>
      <c r="D82">
        <v>5713862.8059999999</v>
      </c>
      <c r="E82">
        <v>12.00678239</v>
      </c>
      <c r="F82">
        <v>30.75651848</v>
      </c>
      <c r="G82">
        <v>14.459796989999999</v>
      </c>
      <c r="H82">
        <v>125050.28879999999</v>
      </c>
      <c r="I82">
        <v>2</v>
      </c>
      <c r="K82" t="s">
        <v>229</v>
      </c>
      <c r="L82" t="s">
        <v>169</v>
      </c>
      <c r="M82">
        <v>973</v>
      </c>
    </row>
    <row r="83" spans="1:13" x14ac:dyDescent="0.4">
      <c r="A83" t="s">
        <v>89</v>
      </c>
      <c r="B83">
        <v>3.7258447E-2</v>
      </c>
      <c r="C83">
        <v>1.3223063E-2</v>
      </c>
      <c r="D83">
        <v>3531038</v>
      </c>
      <c r="E83">
        <v>0.35490107799999998</v>
      </c>
      <c r="F83">
        <v>-20.520705150000001</v>
      </c>
      <c r="G83">
        <v>-46.60863114</v>
      </c>
      <c r="H83">
        <v>170127.69070000001</v>
      </c>
      <c r="I83">
        <v>5</v>
      </c>
      <c r="K83" t="s">
        <v>205</v>
      </c>
      <c r="L83" t="s">
        <v>206</v>
      </c>
      <c r="M83">
        <v>274</v>
      </c>
    </row>
    <row r="84" spans="1:13" x14ac:dyDescent="0.4">
      <c r="A84" t="s">
        <v>90</v>
      </c>
      <c r="B84">
        <v>1.1449030000000001E-3</v>
      </c>
      <c r="C84">
        <v>0.10650723400000001</v>
      </c>
      <c r="D84">
        <v>328872.75660000002</v>
      </c>
      <c r="E84">
        <v>93.027297340000004</v>
      </c>
      <c r="F84">
        <v>42.106855269999997</v>
      </c>
      <c r="G84">
        <v>29.873397310000001</v>
      </c>
      <c r="H84">
        <v>8946.1075249999994</v>
      </c>
      <c r="I84">
        <v>3</v>
      </c>
      <c r="K84" t="s">
        <v>141</v>
      </c>
      <c r="L84" t="s">
        <v>142</v>
      </c>
      <c r="M84">
        <v>99</v>
      </c>
    </row>
    <row r="85" spans="1:13" x14ac:dyDescent="0.4">
      <c r="A85" s="7" t="s">
        <v>51</v>
      </c>
      <c r="B85">
        <v>2.9576089999999999E-3</v>
      </c>
      <c r="C85">
        <v>8.3525140999999997E-2</v>
      </c>
      <c r="D85">
        <v>1739883.5109999999</v>
      </c>
      <c r="E85">
        <v>28.24076509</v>
      </c>
      <c r="F85">
        <v>38.62928162</v>
      </c>
      <c r="G85">
        <v>23.40129804</v>
      </c>
      <c r="H85">
        <v>38949.505250000002</v>
      </c>
      <c r="I85">
        <v>1</v>
      </c>
      <c r="K85" t="s">
        <v>131</v>
      </c>
      <c r="L85" t="s">
        <v>169</v>
      </c>
      <c r="M85">
        <v>509</v>
      </c>
    </row>
    <row r="86" spans="1:13" x14ac:dyDescent="0.4">
      <c r="A86" t="s">
        <v>58</v>
      </c>
      <c r="B86">
        <v>8.4348349999999999E-3</v>
      </c>
      <c r="C86">
        <v>6.6817552000000002E-2</v>
      </c>
      <c r="D86">
        <v>67758</v>
      </c>
      <c r="E86">
        <v>7.9216196529999996</v>
      </c>
      <c r="F86">
        <v>27.502060449999998</v>
      </c>
      <c r="G86">
        <v>10.001513879999999</v>
      </c>
      <c r="H86">
        <v>1435.6566379999999</v>
      </c>
      <c r="I86">
        <v>2</v>
      </c>
      <c r="K86" t="s">
        <v>243</v>
      </c>
      <c r="L86" t="s">
        <v>244</v>
      </c>
      <c r="M86">
        <v>15</v>
      </c>
    </row>
    <row r="87" spans="1:13" x14ac:dyDescent="0.4">
      <c r="A87" t="s">
        <v>93</v>
      </c>
      <c r="B87" s="1">
        <v>1.11E-5</v>
      </c>
      <c r="C87">
        <v>0.136568466</v>
      </c>
      <c r="D87">
        <v>5614704.8360000001</v>
      </c>
      <c r="E87">
        <v>12290.973669999999</v>
      </c>
      <c r="F87">
        <v>68.946036019999994</v>
      </c>
      <c r="G87">
        <v>59.303614160000002</v>
      </c>
      <c r="H87">
        <v>191729.1005</v>
      </c>
      <c r="I87">
        <v>4</v>
      </c>
      <c r="K87" t="s">
        <v>177</v>
      </c>
      <c r="L87" t="s">
        <v>176</v>
      </c>
      <c r="M87">
        <v>15</v>
      </c>
    </row>
    <row r="88" spans="1:13" x14ac:dyDescent="0.4">
      <c r="A88" s="7" t="s">
        <v>94</v>
      </c>
      <c r="B88">
        <v>3.599915E-3</v>
      </c>
      <c r="C88">
        <v>8.6412868000000004E-2</v>
      </c>
      <c r="D88">
        <v>34095.286319999999</v>
      </c>
      <c r="E88">
        <v>24.004140670000002</v>
      </c>
      <c r="F88">
        <v>35.308611110000001</v>
      </c>
      <c r="G88">
        <v>20.677823620000002</v>
      </c>
      <c r="H88">
        <v>799.21625700000004</v>
      </c>
      <c r="I88">
        <v>1</v>
      </c>
      <c r="K88" t="s">
        <v>266</v>
      </c>
      <c r="L88" t="s">
        <v>267</v>
      </c>
      <c r="M88">
        <v>25</v>
      </c>
    </row>
    <row r="89" spans="1:13" x14ac:dyDescent="0.4">
      <c r="A89" t="s">
        <v>30</v>
      </c>
      <c r="B89">
        <v>1.1956E-2</v>
      </c>
      <c r="C89">
        <v>6.8210049999999994E-2</v>
      </c>
      <c r="D89">
        <v>231933</v>
      </c>
      <c r="E89">
        <v>5.7050895500000003</v>
      </c>
      <c r="F89">
        <v>21.72189698</v>
      </c>
      <c r="G89">
        <v>5.2940213829999996</v>
      </c>
      <c r="H89">
        <v>5463.0497610000002</v>
      </c>
      <c r="I89">
        <v>2</v>
      </c>
      <c r="K89" t="s">
        <v>220</v>
      </c>
      <c r="L89" t="s">
        <v>221</v>
      </c>
      <c r="M89">
        <v>11</v>
      </c>
    </row>
    <row r="90" spans="1:13" x14ac:dyDescent="0.4">
      <c r="A90" t="s">
        <v>96</v>
      </c>
      <c r="B90">
        <v>7.8653399999999997E-4</v>
      </c>
      <c r="C90">
        <v>0.13025513399999999</v>
      </c>
      <c r="D90">
        <v>60610</v>
      </c>
      <c r="E90">
        <v>165.60653199999999</v>
      </c>
      <c r="F90">
        <v>38.992289900000003</v>
      </c>
      <c r="G90">
        <v>28.942372779999999</v>
      </c>
      <c r="H90">
        <v>1997.5987849999999</v>
      </c>
      <c r="I90">
        <v>3</v>
      </c>
      <c r="K90" t="s">
        <v>143</v>
      </c>
      <c r="L90" t="s">
        <v>144</v>
      </c>
      <c r="M90">
        <v>11</v>
      </c>
    </row>
    <row r="91" spans="1:13" x14ac:dyDescent="0.4">
      <c r="A91" t="s">
        <v>80</v>
      </c>
      <c r="B91">
        <v>5.6429410000000003E-3</v>
      </c>
      <c r="C91">
        <v>6.9715853999999994E-2</v>
      </c>
      <c r="D91">
        <v>61936</v>
      </c>
      <c r="E91">
        <v>12.3545246</v>
      </c>
      <c r="F91">
        <v>33.360702609999997</v>
      </c>
      <c r="G91">
        <v>15.884867290000001</v>
      </c>
      <c r="H91">
        <v>1261.3032189999999</v>
      </c>
      <c r="I91">
        <v>2</v>
      </c>
      <c r="K91" t="s">
        <v>215</v>
      </c>
      <c r="L91" t="s">
        <v>258</v>
      </c>
      <c r="M91">
        <v>38</v>
      </c>
    </row>
    <row r="92" spans="1:13" x14ac:dyDescent="0.4">
      <c r="A92" t="s">
        <v>81</v>
      </c>
      <c r="B92">
        <v>9.1860699999999993E-3</v>
      </c>
      <c r="C92">
        <v>8.0084583000000001E-2</v>
      </c>
      <c r="D92">
        <v>168904</v>
      </c>
      <c r="E92">
        <v>8.7180461010000005</v>
      </c>
      <c r="F92">
        <v>24.256517299999999</v>
      </c>
      <c r="G92">
        <v>9.5041003419999992</v>
      </c>
      <c r="H92">
        <v>4201.9264789999997</v>
      </c>
      <c r="I92">
        <v>2</v>
      </c>
      <c r="K92" t="s">
        <v>119</v>
      </c>
      <c r="L92" t="s">
        <v>259</v>
      </c>
      <c r="M92">
        <v>82</v>
      </c>
    </row>
    <row r="93" spans="1:13" x14ac:dyDescent="0.4">
      <c r="A93" t="s">
        <v>99</v>
      </c>
      <c r="B93">
        <v>1.7236176999999998E-2</v>
      </c>
      <c r="C93">
        <v>1.7570606999999999E-2</v>
      </c>
      <c r="D93">
        <v>90801</v>
      </c>
      <c r="E93">
        <v>1.019402811</v>
      </c>
      <c r="F93">
        <v>0.55210434200000003</v>
      </c>
      <c r="G93">
        <v>-37.284137200000004</v>
      </c>
      <c r="H93">
        <v>1565.2066030000001</v>
      </c>
      <c r="I93">
        <v>5</v>
      </c>
      <c r="K93" t="s">
        <v>207</v>
      </c>
      <c r="L93" t="s">
        <v>208</v>
      </c>
      <c r="M93">
        <v>409</v>
      </c>
    </row>
    <row r="94" spans="1:13" x14ac:dyDescent="0.4">
      <c r="A94" t="s">
        <v>100</v>
      </c>
      <c r="B94" s="1">
        <v>1.1600000000000001E-5</v>
      </c>
      <c r="C94">
        <v>4.6718536999999997E-2</v>
      </c>
      <c r="D94">
        <v>33314099.050000001</v>
      </c>
      <c r="E94">
        <v>4037.9092179999998</v>
      </c>
      <c r="F94">
        <v>177.69020499999999</v>
      </c>
      <c r="G94">
        <v>149.5079906</v>
      </c>
      <c r="H94">
        <v>389289.23920000001</v>
      </c>
      <c r="I94">
        <v>4</v>
      </c>
      <c r="K94" t="s">
        <v>178</v>
      </c>
      <c r="L94" t="s">
        <v>179</v>
      </c>
      <c r="M94">
        <v>37</v>
      </c>
    </row>
    <row r="95" spans="1:13" x14ac:dyDescent="0.4">
      <c r="A95" t="s">
        <v>101</v>
      </c>
      <c r="B95">
        <v>6.4832799999999999E-4</v>
      </c>
      <c r="C95">
        <v>0.105622223</v>
      </c>
      <c r="D95">
        <v>306799.26659999997</v>
      </c>
      <c r="E95">
        <v>162.91480340000001</v>
      </c>
      <c r="F95">
        <v>47.926987650000001</v>
      </c>
      <c r="G95">
        <v>35.534486770000001</v>
      </c>
      <c r="H95">
        <v>8200.9636439999995</v>
      </c>
      <c r="I95">
        <v>3</v>
      </c>
      <c r="K95" t="s">
        <v>145</v>
      </c>
      <c r="L95" t="s">
        <v>146</v>
      </c>
      <c r="M95">
        <v>136</v>
      </c>
    </row>
    <row r="96" spans="1:13" x14ac:dyDescent="0.4">
      <c r="A96" t="s">
        <v>42</v>
      </c>
      <c r="B96">
        <v>1.0465484000000001E-2</v>
      </c>
      <c r="C96">
        <v>6.0677855000000003E-2</v>
      </c>
      <c r="D96">
        <v>140308</v>
      </c>
      <c r="E96">
        <v>5.7979024020000001</v>
      </c>
      <c r="F96">
        <v>24.703594389999999</v>
      </c>
      <c r="G96">
        <v>6.1922634600000004</v>
      </c>
      <c r="H96">
        <v>2925.9083169999999</v>
      </c>
      <c r="I96">
        <v>2</v>
      </c>
      <c r="K96" t="s">
        <v>190</v>
      </c>
      <c r="L96" t="s">
        <v>230</v>
      </c>
      <c r="M96">
        <v>115</v>
      </c>
    </row>
    <row r="97" spans="1:13" x14ac:dyDescent="0.4">
      <c r="A97" s="7" t="s">
        <v>56</v>
      </c>
      <c r="B97">
        <v>4.5978740000000001E-3</v>
      </c>
      <c r="C97">
        <v>0.105569686</v>
      </c>
      <c r="D97">
        <v>112389</v>
      </c>
      <c r="E97">
        <v>22.96054518</v>
      </c>
      <c r="F97">
        <v>28.445554489999999</v>
      </c>
      <c r="G97">
        <v>16.491419319999999</v>
      </c>
      <c r="H97">
        <v>3230.2195700000002</v>
      </c>
      <c r="I97">
        <v>1</v>
      </c>
      <c r="K97" t="s">
        <v>241</v>
      </c>
      <c r="L97" t="s">
        <v>242</v>
      </c>
      <c r="M97">
        <v>75</v>
      </c>
    </row>
    <row r="98" spans="1:13" x14ac:dyDescent="0.4">
      <c r="A98" t="s">
        <v>104</v>
      </c>
      <c r="B98" s="1">
        <v>5.5000000000000002E-5</v>
      </c>
      <c r="C98">
        <v>5.8511788000000002E-2</v>
      </c>
      <c r="D98">
        <v>2281513.074</v>
      </c>
      <c r="E98">
        <v>1064.6338490000001</v>
      </c>
      <c r="F98">
        <v>119.0161056</v>
      </c>
      <c r="G98">
        <v>96.529661450000006</v>
      </c>
      <c r="H98">
        <v>33436.577259999998</v>
      </c>
      <c r="I98">
        <v>4</v>
      </c>
      <c r="K98" t="s">
        <v>141</v>
      </c>
      <c r="L98" t="s">
        <v>180</v>
      </c>
      <c r="M98">
        <v>85</v>
      </c>
    </row>
    <row r="99" spans="1:13" x14ac:dyDescent="0.4">
      <c r="A99" t="s">
        <v>105</v>
      </c>
      <c r="B99">
        <v>4.2352500000000001E-4</v>
      </c>
      <c r="C99">
        <v>0.12757653299999999</v>
      </c>
      <c r="D99">
        <v>293768.64909999998</v>
      </c>
      <c r="E99">
        <v>301.22586159999997</v>
      </c>
      <c r="F99">
        <v>44.592638989999998</v>
      </c>
      <c r="G99">
        <v>34.303910039999998</v>
      </c>
      <c r="H99">
        <v>9431.8088100000004</v>
      </c>
      <c r="I99">
        <v>3</v>
      </c>
      <c r="K99" t="s">
        <v>147</v>
      </c>
      <c r="L99" t="s">
        <v>148</v>
      </c>
      <c r="M99">
        <v>71</v>
      </c>
    </row>
    <row r="100" spans="1:13" x14ac:dyDescent="0.4">
      <c r="A100" t="s">
        <v>106</v>
      </c>
      <c r="B100" s="1">
        <v>4.6699999999999997E-5</v>
      </c>
      <c r="C100">
        <v>4.7625612999999997E-2</v>
      </c>
      <c r="D100">
        <v>8215168.3329999996</v>
      </c>
      <c r="E100">
        <v>1019.7193140000001</v>
      </c>
      <c r="F100">
        <v>145.3103826</v>
      </c>
      <c r="G100">
        <v>117.68517009999999</v>
      </c>
      <c r="H100">
        <v>98005.043810000003</v>
      </c>
      <c r="I100">
        <v>4</v>
      </c>
      <c r="K100" t="s">
        <v>131</v>
      </c>
      <c r="L100" t="s">
        <v>182</v>
      </c>
      <c r="M100">
        <v>105</v>
      </c>
    </row>
    <row r="101" spans="1:13" x14ac:dyDescent="0.4">
      <c r="A101" t="s">
        <v>31</v>
      </c>
      <c r="B101">
        <v>1.3170359E-2</v>
      </c>
      <c r="C101">
        <v>5.7814495E-2</v>
      </c>
      <c r="D101">
        <v>330459</v>
      </c>
      <c r="E101">
        <v>4.3897431889999998</v>
      </c>
      <c r="F101">
        <v>20.839244480000001</v>
      </c>
      <c r="G101">
        <v>2.2865839729999999</v>
      </c>
      <c r="H101">
        <v>7200.3274119999996</v>
      </c>
      <c r="I101">
        <v>2</v>
      </c>
      <c r="K101" t="s">
        <v>207</v>
      </c>
      <c r="L101" t="s">
        <v>223</v>
      </c>
      <c r="M101">
        <v>68</v>
      </c>
    </row>
    <row r="102" spans="1:13" x14ac:dyDescent="0.4">
      <c r="A102" t="s">
        <v>108</v>
      </c>
      <c r="B102" s="1">
        <v>6.7899999999999997E-5</v>
      </c>
      <c r="C102">
        <v>2.5652306999999999E-2</v>
      </c>
      <c r="D102">
        <v>3954361.986</v>
      </c>
      <c r="E102">
        <v>377.89271789999998</v>
      </c>
      <c r="F102">
        <v>230.7374294</v>
      </c>
      <c r="G102">
        <v>179.53415530000001</v>
      </c>
      <c r="H102">
        <v>25494.020199999999</v>
      </c>
      <c r="I102">
        <v>4</v>
      </c>
      <c r="K102" t="s">
        <v>183</v>
      </c>
      <c r="L102" t="s">
        <v>184</v>
      </c>
      <c r="M102">
        <v>32</v>
      </c>
    </row>
  </sheetData>
  <autoFilter ref="B1:M102"/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I33" sqref="I33"/>
    </sheetView>
  </sheetViews>
  <sheetFormatPr defaultRowHeight="17.399999999999999" x14ac:dyDescent="0.4"/>
  <cols>
    <col min="5" max="7" width="12.19921875" customWidth="1"/>
    <col min="9" max="9" width="18" customWidth="1"/>
  </cols>
  <sheetData>
    <row r="1" spans="1:11" ht="18" thickBot="1" x14ac:dyDescent="0.45">
      <c r="A1" t="s">
        <v>126</v>
      </c>
      <c r="B1" t="s">
        <v>302</v>
      </c>
      <c r="C1" s="2" t="s">
        <v>304</v>
      </c>
      <c r="D1" s="2" t="s">
        <v>305</v>
      </c>
      <c r="E1" s="2" t="s">
        <v>306</v>
      </c>
      <c r="F1" s="2" t="s">
        <v>307</v>
      </c>
      <c r="G1" s="8"/>
      <c r="I1" t="s">
        <v>301</v>
      </c>
      <c r="J1" t="s">
        <v>303</v>
      </c>
    </row>
    <row r="2" spans="1:11" ht="18" thickBot="1" x14ac:dyDescent="0.45">
      <c r="A2" t="s">
        <v>118</v>
      </c>
      <c r="B2">
        <v>34</v>
      </c>
      <c r="C2" s="3">
        <v>18</v>
      </c>
      <c r="D2" s="3">
        <v>5</v>
      </c>
      <c r="E2" s="3">
        <v>6</v>
      </c>
      <c r="F2" s="3">
        <v>5</v>
      </c>
      <c r="G2" s="9"/>
      <c r="I2" t="s">
        <v>299</v>
      </c>
      <c r="J2">
        <v>13</v>
      </c>
      <c r="K2" t="s">
        <v>293</v>
      </c>
    </row>
    <row r="3" spans="1:11" ht="18" thickBot="1" x14ac:dyDescent="0.45">
      <c r="A3" t="s">
        <v>120</v>
      </c>
      <c r="B3">
        <v>31</v>
      </c>
      <c r="C3" s="4">
        <v>18</v>
      </c>
      <c r="D3" s="4">
        <v>5</v>
      </c>
      <c r="E3" s="4">
        <v>5</v>
      </c>
      <c r="F3" s="4">
        <v>3</v>
      </c>
      <c r="G3" s="9"/>
      <c r="I3" t="s">
        <v>285</v>
      </c>
      <c r="J3">
        <v>9</v>
      </c>
    </row>
    <row r="4" spans="1:11" ht="18" thickBot="1" x14ac:dyDescent="0.45">
      <c r="A4" t="s">
        <v>130</v>
      </c>
      <c r="B4">
        <v>12</v>
      </c>
      <c r="C4" s="4">
        <v>4</v>
      </c>
      <c r="D4" s="4">
        <v>3</v>
      </c>
      <c r="E4" s="4">
        <v>5</v>
      </c>
      <c r="F4" s="4">
        <v>0</v>
      </c>
      <c r="G4" s="9"/>
      <c r="I4" t="s">
        <v>284</v>
      </c>
      <c r="J4">
        <v>9</v>
      </c>
    </row>
    <row r="5" spans="1:11" ht="18" thickBot="1" x14ac:dyDescent="0.45">
      <c r="A5" t="s">
        <v>134</v>
      </c>
      <c r="B5">
        <v>7</v>
      </c>
      <c r="C5" s="4">
        <v>5</v>
      </c>
      <c r="D5" s="4">
        <v>1</v>
      </c>
      <c r="E5" s="4">
        <v>1</v>
      </c>
      <c r="F5" s="4">
        <v>0</v>
      </c>
      <c r="G5" s="9"/>
      <c r="I5" t="s">
        <v>144</v>
      </c>
      <c r="J5">
        <v>8</v>
      </c>
      <c r="K5" t="s">
        <v>295</v>
      </c>
    </row>
    <row r="6" spans="1:11" ht="18" thickBot="1" x14ac:dyDescent="0.45">
      <c r="A6" t="s">
        <v>157</v>
      </c>
      <c r="B6">
        <v>5</v>
      </c>
      <c r="C6" s="4">
        <v>3</v>
      </c>
      <c r="D6" s="4">
        <v>0</v>
      </c>
      <c r="E6" s="4">
        <v>2</v>
      </c>
      <c r="F6" s="4">
        <v>0</v>
      </c>
      <c r="G6" s="9"/>
      <c r="I6" t="s">
        <v>289</v>
      </c>
      <c r="J6">
        <v>8</v>
      </c>
      <c r="K6" t="s">
        <v>294</v>
      </c>
    </row>
    <row r="7" spans="1:11" ht="18" thickBot="1" x14ac:dyDescent="0.45">
      <c r="A7" t="s">
        <v>122</v>
      </c>
      <c r="B7">
        <v>5</v>
      </c>
      <c r="C7" s="4">
        <v>1</v>
      </c>
      <c r="D7" s="4">
        <v>1</v>
      </c>
      <c r="E7" s="4">
        <v>1</v>
      </c>
      <c r="F7" s="4">
        <v>2</v>
      </c>
      <c r="G7" s="9"/>
      <c r="I7" t="s">
        <v>298</v>
      </c>
      <c r="J7">
        <v>7</v>
      </c>
    </row>
    <row r="8" spans="1:11" ht="18" thickBot="1" x14ac:dyDescent="0.45">
      <c r="A8" t="s">
        <v>124</v>
      </c>
      <c r="B8">
        <v>3</v>
      </c>
      <c r="C8" s="4">
        <v>0</v>
      </c>
      <c r="D8" s="4">
        <v>2</v>
      </c>
      <c r="E8" s="4">
        <v>0</v>
      </c>
      <c r="F8" s="4">
        <v>1</v>
      </c>
      <c r="G8" s="9"/>
      <c r="I8" t="s">
        <v>273</v>
      </c>
      <c r="J8">
        <v>6</v>
      </c>
    </row>
    <row r="9" spans="1:11" ht="18" thickBot="1" x14ac:dyDescent="0.45">
      <c r="A9" t="s">
        <v>159</v>
      </c>
      <c r="B9">
        <v>2</v>
      </c>
      <c r="C9" s="4">
        <v>1</v>
      </c>
      <c r="D9" s="4">
        <v>0</v>
      </c>
      <c r="E9" s="4">
        <v>1</v>
      </c>
      <c r="F9" s="4">
        <v>0</v>
      </c>
      <c r="G9" s="9"/>
      <c r="I9" t="s">
        <v>300</v>
      </c>
      <c r="J9">
        <v>6</v>
      </c>
    </row>
    <row r="10" spans="1:11" ht="18" thickBot="1" x14ac:dyDescent="0.45">
      <c r="A10" t="s">
        <v>195</v>
      </c>
      <c r="B10">
        <v>2</v>
      </c>
      <c r="C10" s="4">
        <v>1</v>
      </c>
      <c r="D10" s="4">
        <v>0</v>
      </c>
      <c r="E10" s="4">
        <v>0</v>
      </c>
      <c r="F10" s="4">
        <v>1</v>
      </c>
      <c r="G10" s="9"/>
      <c r="I10" t="s">
        <v>287</v>
      </c>
      <c r="J10">
        <v>5</v>
      </c>
    </row>
    <row r="11" spans="1:11" ht="18" thickBot="1" x14ac:dyDescent="0.45">
      <c r="A11" t="s">
        <v>198</v>
      </c>
      <c r="B11">
        <v>1</v>
      </c>
      <c r="C11" s="5">
        <v>0</v>
      </c>
      <c r="D11" s="5">
        <v>0</v>
      </c>
      <c r="E11" s="5">
        <v>0</v>
      </c>
      <c r="F11" s="5">
        <v>1</v>
      </c>
      <c r="G11" s="9"/>
      <c r="I11" t="s">
        <v>296</v>
      </c>
      <c r="J11">
        <v>5</v>
      </c>
    </row>
    <row r="12" spans="1:11" ht="18" thickBot="1" x14ac:dyDescent="0.45">
      <c r="B12">
        <f>SUM(B2:B11)</f>
        <v>102</v>
      </c>
      <c r="C12" s="6">
        <v>51</v>
      </c>
      <c r="D12" s="6">
        <v>17</v>
      </c>
      <c r="E12" s="6">
        <v>21</v>
      </c>
      <c r="F12" s="6">
        <v>13</v>
      </c>
      <c r="G12" s="9"/>
      <c r="I12" t="s">
        <v>297</v>
      </c>
      <c r="J12">
        <v>5</v>
      </c>
      <c r="K12" t="s">
        <v>288</v>
      </c>
    </row>
    <row r="13" spans="1:11" ht="18" thickBot="1" x14ac:dyDescent="0.45">
      <c r="I13" t="s">
        <v>277</v>
      </c>
      <c r="J13">
        <v>4</v>
      </c>
    </row>
    <row r="14" spans="1:11" ht="18" thickBot="1" x14ac:dyDescent="0.45">
      <c r="A14" t="s">
        <v>126</v>
      </c>
      <c r="B14" t="s">
        <v>302</v>
      </c>
      <c r="C14" s="2" t="s">
        <v>304</v>
      </c>
      <c r="D14" s="2" t="s">
        <v>305</v>
      </c>
      <c r="E14" s="2" t="s">
        <v>308</v>
      </c>
      <c r="F14" s="2" t="s">
        <v>309</v>
      </c>
      <c r="G14" s="2" t="s">
        <v>310</v>
      </c>
      <c r="I14" t="s">
        <v>286</v>
      </c>
      <c r="J14">
        <v>3</v>
      </c>
    </row>
    <row r="15" spans="1:11" ht="18" thickBot="1" x14ac:dyDescent="0.45">
      <c r="A15" t="s">
        <v>118</v>
      </c>
      <c r="B15">
        <v>33</v>
      </c>
      <c r="C15" s="3">
        <v>8</v>
      </c>
      <c r="D15" s="3">
        <v>9</v>
      </c>
      <c r="E15" s="3">
        <v>5</v>
      </c>
      <c r="F15" s="3">
        <v>6</v>
      </c>
      <c r="G15" s="3">
        <v>5</v>
      </c>
      <c r="I15" t="s">
        <v>280</v>
      </c>
      <c r="J15">
        <v>2</v>
      </c>
      <c r="K15" t="s">
        <v>291</v>
      </c>
    </row>
    <row r="16" spans="1:11" ht="18" thickBot="1" x14ac:dyDescent="0.45">
      <c r="A16" t="s">
        <v>120</v>
      </c>
      <c r="B16">
        <v>31</v>
      </c>
      <c r="C16" s="4">
        <v>7</v>
      </c>
      <c r="D16" s="4">
        <v>11</v>
      </c>
      <c r="E16" s="4">
        <v>5</v>
      </c>
      <c r="F16" s="4">
        <v>5</v>
      </c>
      <c r="G16" s="4">
        <v>3</v>
      </c>
      <c r="I16" t="s">
        <v>238</v>
      </c>
      <c r="J16">
        <v>2</v>
      </c>
    </row>
    <row r="17" spans="1:11" ht="18" thickBot="1" x14ac:dyDescent="0.45">
      <c r="A17" t="s">
        <v>130</v>
      </c>
      <c r="B17">
        <v>12</v>
      </c>
      <c r="C17" s="4">
        <v>3</v>
      </c>
      <c r="D17" s="4">
        <v>1</v>
      </c>
      <c r="E17" s="4">
        <v>3</v>
      </c>
      <c r="F17" s="4">
        <v>5</v>
      </c>
      <c r="G17" s="4">
        <v>0</v>
      </c>
      <c r="I17" t="s">
        <v>292</v>
      </c>
      <c r="J17">
        <v>2</v>
      </c>
    </row>
    <row r="18" spans="1:11" ht="18" thickBot="1" x14ac:dyDescent="0.45">
      <c r="A18" t="s">
        <v>134</v>
      </c>
      <c r="B18">
        <v>7</v>
      </c>
      <c r="C18" s="4">
        <v>3</v>
      </c>
      <c r="D18" s="4">
        <v>2</v>
      </c>
      <c r="E18" s="4">
        <v>1</v>
      </c>
      <c r="F18" s="4">
        <v>1</v>
      </c>
      <c r="G18" s="4">
        <v>0</v>
      </c>
      <c r="I18" t="s">
        <v>274</v>
      </c>
      <c r="J18">
        <v>1</v>
      </c>
    </row>
    <row r="19" spans="1:11" ht="18" thickBot="1" x14ac:dyDescent="0.45">
      <c r="A19" t="s">
        <v>157</v>
      </c>
      <c r="B19">
        <v>5</v>
      </c>
      <c r="C19" s="4">
        <v>1</v>
      </c>
      <c r="D19" s="4">
        <v>2</v>
      </c>
      <c r="E19" s="4">
        <v>0</v>
      </c>
      <c r="F19" s="4">
        <v>2</v>
      </c>
      <c r="G19" s="4">
        <v>0</v>
      </c>
      <c r="I19" t="s">
        <v>275</v>
      </c>
      <c r="J19">
        <v>1</v>
      </c>
    </row>
    <row r="20" spans="1:11" ht="18" thickBot="1" x14ac:dyDescent="0.45">
      <c r="A20" t="s">
        <v>122</v>
      </c>
      <c r="B20">
        <v>5</v>
      </c>
      <c r="C20" s="4">
        <v>1</v>
      </c>
      <c r="D20" s="4">
        <v>0</v>
      </c>
      <c r="E20" s="4">
        <v>1</v>
      </c>
      <c r="F20" s="4">
        <v>1</v>
      </c>
      <c r="G20" s="4">
        <v>2</v>
      </c>
      <c r="I20" t="s">
        <v>276</v>
      </c>
      <c r="J20">
        <v>1</v>
      </c>
    </row>
    <row r="21" spans="1:11" ht="18" thickBot="1" x14ac:dyDescent="0.45">
      <c r="A21" t="s">
        <v>124</v>
      </c>
      <c r="B21">
        <v>3</v>
      </c>
      <c r="C21" s="4">
        <v>0</v>
      </c>
      <c r="D21" s="4">
        <v>0</v>
      </c>
      <c r="E21" s="4">
        <v>2</v>
      </c>
      <c r="F21" s="4">
        <v>0</v>
      </c>
      <c r="G21" s="4">
        <v>1</v>
      </c>
      <c r="I21" t="s">
        <v>278</v>
      </c>
      <c r="J21">
        <v>1</v>
      </c>
    </row>
    <row r="22" spans="1:11" ht="18" thickBot="1" x14ac:dyDescent="0.45">
      <c r="A22" t="s">
        <v>159</v>
      </c>
      <c r="B22">
        <v>2</v>
      </c>
      <c r="C22" s="4">
        <v>0</v>
      </c>
      <c r="D22" s="4">
        <v>1</v>
      </c>
      <c r="E22" s="4">
        <v>0</v>
      </c>
      <c r="F22" s="4">
        <v>1</v>
      </c>
      <c r="G22" s="4">
        <v>0</v>
      </c>
      <c r="I22" t="s">
        <v>279</v>
      </c>
      <c r="J22">
        <v>1</v>
      </c>
    </row>
    <row r="23" spans="1:11" ht="18" thickBot="1" x14ac:dyDescent="0.45">
      <c r="A23" t="s">
        <v>195</v>
      </c>
      <c r="B23">
        <v>2</v>
      </c>
      <c r="C23" s="4">
        <v>1</v>
      </c>
      <c r="D23" s="4">
        <v>0</v>
      </c>
      <c r="E23" s="4">
        <v>0</v>
      </c>
      <c r="F23" s="4">
        <v>0</v>
      </c>
      <c r="G23" s="4">
        <v>1</v>
      </c>
      <c r="I23" t="s">
        <v>281</v>
      </c>
      <c r="J23">
        <v>1</v>
      </c>
    </row>
    <row r="24" spans="1:11" ht="18" thickBot="1" x14ac:dyDescent="0.45">
      <c r="A24" t="s">
        <v>198</v>
      </c>
      <c r="B24">
        <v>1</v>
      </c>
      <c r="C24" s="5">
        <v>0</v>
      </c>
      <c r="D24" s="5">
        <v>0</v>
      </c>
      <c r="E24" s="5">
        <v>0</v>
      </c>
      <c r="F24" s="5">
        <v>0</v>
      </c>
      <c r="G24" s="5">
        <v>1</v>
      </c>
      <c r="I24" t="s">
        <v>282</v>
      </c>
      <c r="J24">
        <v>1</v>
      </c>
      <c r="K24" t="s">
        <v>290</v>
      </c>
    </row>
    <row r="25" spans="1:11" ht="18" thickBot="1" x14ac:dyDescent="0.45">
      <c r="B25">
        <f>SUM(B15:B24)</f>
        <v>101</v>
      </c>
      <c r="C25" s="6">
        <v>24</v>
      </c>
      <c r="D25" s="6">
        <v>26</v>
      </c>
      <c r="E25" s="6">
        <v>17</v>
      </c>
      <c r="F25" s="6">
        <v>21</v>
      </c>
      <c r="G25" s="6">
        <v>13</v>
      </c>
      <c r="I25" t="s">
        <v>283</v>
      </c>
      <c r="J25">
        <v>1</v>
      </c>
    </row>
    <row r="26" spans="1:11" x14ac:dyDescent="0.4">
      <c r="J26">
        <f>SUM(J2:J25)</f>
        <v>102</v>
      </c>
    </row>
  </sheetData>
  <sortState ref="I2:J25">
    <sortCondition descending="1" ref="J2:J25"/>
  </sortState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dataset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2022-05-07T10:43:34Z</dcterms:created>
  <dcterms:modified xsi:type="dcterms:W3CDTF">2022-05-11T00:23:01Z</dcterms:modified>
</cp:coreProperties>
</file>